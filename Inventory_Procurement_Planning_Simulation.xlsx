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Inventory_Master" sheetId="2" state="visible" r:id="rId2"/>
    <sheet xmlns:r="http://schemas.openxmlformats.org/officeDocument/2006/relationships" name="Supplier_Comparison" sheetId="3" state="visible" r:id="rId3"/>
    <sheet xmlns:r="http://schemas.openxmlformats.org/officeDocument/2006/relationships" name="Cost_Assumptions" sheetId="4" state="visible" r:id="rId4"/>
    <sheet xmlns:r="http://schemas.openxmlformats.org/officeDocument/2006/relationships" name="Replenishment_Plan" sheetId="5" state="visible" r:id="rId5"/>
    <sheet xmlns:r="http://schemas.openxmlformats.org/officeDocument/2006/relationships" name="Scenario_Analysis" sheetId="6" state="visible" r:id="rId6"/>
    <sheet xmlns:r="http://schemas.openxmlformats.org/officeDocument/2006/relationships" name="Cost_Analysis" sheetId="7" state="visible" r:id="rId7"/>
    <sheet xmlns:r="http://schemas.openxmlformats.org/officeDocument/2006/relationships" name="Management_Dashboard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"/>
    <numFmt numFmtId="166" formatCode="0.0%"/>
    <numFmt numFmtId="167" formatCode="₹#,##0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7365D"/>
    </font>
    <font>
      <b val="1"/>
      <color rgb="00FFFFFF"/>
    </font>
    <font>
      <b val="1"/>
      <color rgb="0017365D"/>
      <sz val="13"/>
    </font>
    <font>
      <b val="1"/>
      <color rgb="0017365D"/>
      <sz val="15"/>
    </font>
    <font>
      <b val="1"/>
      <color rgb="0017365D"/>
      <sz val="12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0F6B78"/>
      </patternFill>
    </fill>
    <fill>
      <patternFill patternType="solid">
        <fgColor rgb="00EAF3F4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6" fontId="3" fillId="5" borderId="0" applyAlignment="1" pivotButton="0" quotePrefix="0" xfId="0">
      <alignment vertical="center"/>
    </xf>
    <xf numFmtId="164" fontId="3" fillId="5" borderId="0" applyAlignment="1" pivotButton="0" quotePrefix="0" xfId="0">
      <alignment vertical="center"/>
    </xf>
    <xf numFmtId="2" fontId="3" fillId="5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167" fontId="6" fillId="7" borderId="0" applyAlignment="1" pivotButton="0" quotePrefix="0" xfId="0">
      <alignment vertical="center"/>
    </xf>
    <xf numFmtId="1" fontId="6" fillId="7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Value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'Management_Dashboard'!B16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'Management_Dashboard'!$A$17:$A$21</f>
            </numRef>
          </cat>
          <val>
            <numRef>
              <f>'Management_Dashboard'!$B$17:$B$21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SKU Replenishment Status</a:t>
            </a:r>
          </a:p>
        </rich>
      </tx>
    </title>
    <plotArea>
      <pieChart>
        <varyColors val="1"/>
        <ser>
          <idx val="0"/>
          <order val="0"/>
          <tx>
            <strRef>
              <f>'Management_Dashboard'!B25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'Management_Dashboard'!$A$26:$A$27</f>
            </numRef>
          </cat>
          <val>
            <numRef>
              <f>'Management_Dashboard'!$B$26:$B$27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ventoryMasterTable" displayName="InventoryMasterTable" ref="A3:O33" headerRowCount="1">
  <autoFilter ref="A3:O33"/>
  <tableColumns count="15">
    <tableColumn id="1" name="SKU"/>
    <tableColumn id="2" name="Product"/>
    <tableColumn id="3" name="Category"/>
    <tableColumn id="4" name="Unit Cost (₹)"/>
    <tableColumn id="5" name="Current Stock (units)"/>
    <tableColumn id="6" name="Avg Daily Demand (units)"/>
    <tableColumn id="7" name="Lead Time (days)"/>
    <tableColumn id="8" name="Safety Stock (units)"/>
    <tableColumn id="9" name="Reorder Point (units)"/>
    <tableColumn id="10" name="Inventory Value (₹)"/>
    <tableColumn id="11" name="Recommended Supplier"/>
    <tableColumn id="12" name="Supplier Unit Price (₹)"/>
    <tableColumn id="13" name="Supplier Lead Time (days)"/>
    <tableColumn id="14" name="Supplier MOQ (units)"/>
    <tableColumn id="15" name="Supplier 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plierComparisonTable" displayName="SupplierComparisonTable" ref="A3:N93" headerRowCount="1">
  <autoFilter ref="A3:N93"/>
  <tableColumns count="14">
    <tableColumn id="1" name="SKU"/>
    <tableColumn id="2" name="Product"/>
    <tableColumn id="3" name="Supplier"/>
    <tableColumn id="4" name="Unit Price (₹)"/>
    <tableColumn id="5" name="Lead Time (days)"/>
    <tableColumn id="6" name="MOQ (units)"/>
    <tableColumn id="7" name="Defect Rate (%)"/>
    <tableColumn id="8" name="On-time Delivery (%)"/>
    <tableColumn id="9" name="Price Score (0-100)"/>
    <tableColumn id="10" name="Lead Score (0-100)"/>
    <tableColumn id="11" name="Quality Score (0-100)"/>
    <tableColumn id="12" name="Reliability Score (0-100)"/>
    <tableColumn id="13" name="Weighted Score"/>
    <tableColumn id="14" name="Rank per SK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plenishmentTable" displayName="ReplenishmentTable" ref="A3:Q33" headerRowCount="1">
  <autoFilter ref="A3:Q33"/>
  <tableColumns count="17">
    <tableColumn id="1" name="SKU"/>
    <tableColumn id="2" name="Product"/>
    <tableColumn id="3" name="Current Stock"/>
    <tableColumn id="4" name="Daily Demand"/>
    <tableColumn id="5" name="Lead Time"/>
    <tableColumn id="6" name="Safety Stock"/>
    <tableColumn id="7" name="Reorder Point"/>
    <tableColumn id="8" name="Status"/>
    <tableColumn id="9" name="Target Stock"/>
    <tableColumn id="10" name="Base Order Qty"/>
    <tableColumn id="11" name="Supplier MOQ"/>
    <tableColumn id="12" name="MOQ-Adjusted Order Qty"/>
    <tableColumn id="13" name="Recommended Supplier"/>
    <tableColumn id="14" name="Unit Price (₹)"/>
    <tableColumn id="15" name="Purchase Cost (₹)"/>
    <tableColumn id="16" name="Order Count"/>
    <tableColumn id="17" name="Annual Holding Cost (₹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enarioAnalysisTable" displayName="ScenarioAnalysisTable" ref="A3:L93" headerRowCount="1">
  <autoFilter ref="A3:L93"/>
  <tableColumns count="12">
    <tableColumn id="1" name="SKU"/>
    <tableColumn id="2" name="Product"/>
    <tableColumn id="3" name="Scenario"/>
    <tableColumn id="4" name="Daily Demand"/>
    <tableColumn id="5" name="Lead Time (days)"/>
    <tableColumn id="6" name="Safety Stock"/>
    <tableColumn id="7" name="Scenario Reorder Point"/>
    <tableColumn id="8" name="Current Stock"/>
    <tableColumn id="9" name="Gap to Reorder Point"/>
    <tableColumn id="10" name="Target Stock"/>
    <tableColumn id="11" name="Suggested Order Qty (MOQ-adjusted)"/>
    <tableColumn id="12" name="Estimated Purchase Cost (₹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stAnalysisTable" displayName="CostAnalysisTable" ref="A3:I33" headerRowCount="1">
  <autoFilter ref="A3:I33"/>
  <tableColumns count="9">
    <tableColumn id="1" name="SKU"/>
    <tableColumn id="2" name="Product"/>
    <tableColumn id="3" name="Current Inventory Value (₹)"/>
    <tableColumn id="4" name="Suggested Order Qty"/>
    <tableColumn id="5" name="Suggested Purchase Cost (₹)"/>
    <tableColumn id="6" name="Annual Holding Cost (₹)"/>
    <tableColumn id="7" name="Estimated Order Processing Cost (₹)"/>
    <tableColumn id="8" name="Illustrative Stockout Risk Units"/>
    <tableColumn id="9" name="Illustrative Stockout Risk Cost (₹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2" customHeight="1">
      <c r="A1" s="1" t="inlineStr">
        <is>
          <t>Inventory &amp; Procurement Planning Simulation</t>
        </is>
      </c>
    </row>
    <row r="2" ht="25" customHeight="1">
      <c r="A2" s="2" t="inlineStr">
        <is>
          <t>Portfolio-ready Excel model | Synthetic retail data | No coding required</t>
        </is>
      </c>
    </row>
    <row r="3"/>
    <row r="4" ht="38" customHeight="1">
      <c r="A4" s="3" t="inlineStr">
        <is>
          <t>Project purpose</t>
        </is>
      </c>
      <c r="B4" s="4" t="inlineStr">
        <is>
          <t>Analyze stock levels, supplier trade-offs, replenishment needs and estimated procurement costs for a fictional retail business.</t>
        </is>
      </c>
    </row>
    <row r="5" ht="30" customHeight="1">
      <c r="A5" s="3" t="inlineStr">
        <is>
          <t>Data note</t>
        </is>
      </c>
      <c r="B5" s="4" t="inlineStr">
        <is>
          <t>All product, supplier and cost data are synthetic and for educational demonstration only.</t>
        </is>
      </c>
    </row>
    <row r="6" ht="38" customHeight="1">
      <c r="A6" s="3" t="inlineStr">
        <is>
          <t>Recommended workflow</t>
        </is>
      </c>
      <c r="B6" s="4" t="inlineStr">
        <is>
          <t>1. Review Inventory_Master. 2. Compare Supplier_Comparison. 3. Review Cost_Assumptions. 4. Analyze Replenishment_Plan and Scenario_Analysis. 5. Review Cost_Analysis and Management_Dashboard.</t>
        </is>
      </c>
    </row>
    <row r="7" ht="30" customHeight="1">
      <c r="A7" s="3" t="inlineStr">
        <is>
          <t>Inventory_Master</t>
        </is>
      </c>
      <c r="B7" s="4" t="inlineStr">
        <is>
          <t>30 SKUs across five categories. Reorder point and inventory value are formula-driven.</t>
        </is>
      </c>
    </row>
    <row r="8" ht="30" customHeight="1">
      <c r="A8" s="3" t="inlineStr">
        <is>
          <t>Supplier_Comparison</t>
        </is>
      </c>
      <c r="B8" s="4" t="inlineStr">
        <is>
          <t>Three supplier quotes per SKU. Supplier scores are normalized within each SKU and weighted.</t>
        </is>
      </c>
    </row>
    <row r="9" ht="30" customHeight="1">
      <c r="A9" s="3" t="inlineStr">
        <is>
          <t>Cost_Assumptions</t>
        </is>
      </c>
      <c r="B9" s="4" t="inlineStr">
        <is>
          <t>Yellow cells are editable assumptions. Change values to test alternative operating conditions.</t>
        </is>
      </c>
    </row>
    <row r="10" ht="30" customHeight="1">
      <c r="A10" s="3" t="inlineStr">
        <is>
          <t>Replenishment_Plan</t>
        </is>
      </c>
      <c r="B10" s="4" t="inlineStr">
        <is>
          <t>Shows reorder status, recommended supplier, MOQ-adjusted order quantity and estimated purchase cost.</t>
        </is>
      </c>
    </row>
    <row r="11" ht="30" customHeight="1">
      <c r="A11" s="3" t="inlineStr">
        <is>
          <t>Scenario_Analysis</t>
        </is>
      </c>
      <c r="B11" s="4" t="inlineStr">
        <is>
          <t>Compares baseline, 30% higher demand, and four additional days of supplier delay.</t>
        </is>
      </c>
    </row>
    <row r="12" ht="38" customHeight="1">
      <c r="A12" s="3" t="inlineStr">
        <is>
          <t>Cost_Analysis</t>
        </is>
      </c>
      <c r="B12" s="4" t="inlineStr">
        <is>
          <t>Estimates annual holding cost, ordering cost and purchase cost. Stockout penalty is an illustrative risk proxy, not a forecast.</t>
        </is>
      </c>
    </row>
    <row r="13" ht="30" customHeight="1">
      <c r="A13" s="3" t="inlineStr">
        <is>
          <t>Management_Dashboard</t>
        </is>
      </c>
      <c r="B13" s="4" t="inlineStr">
        <is>
          <t>Summary KPIs and charts. Excel may need to recalculate formulas when first opened.</t>
        </is>
      </c>
    </row>
    <row r="14" ht="38" customHeight="1">
      <c r="A14" s="3" t="inlineStr">
        <is>
          <t>Supplier scoring</t>
        </is>
      </c>
      <c r="B14" s="4" t="inlineStr">
        <is>
          <t>Price 40%, lead time 25%, defect-rate quality score 20%, on-time delivery 15%. Higher weighted score is preferred.</t>
        </is>
      </c>
    </row>
    <row r="15" ht="38" customHeight="1">
      <c r="A15" s="3" t="inlineStr">
        <is>
          <t>Model limitations</t>
        </is>
      </c>
      <c r="B15" s="4" t="inlineStr">
        <is>
          <t>Demand is assumed stable within each scenario; actual seasonality, supplier capacity, taxes, freight, cash constraints and uncertain lead times are not modeled.</t>
        </is>
      </c>
    </row>
    <row r="16" ht="38" customHeight="1">
      <c r="A16" s="3" t="inlineStr">
        <is>
          <t>Portfolio deliverables</t>
        </is>
      </c>
      <c r="B16" s="4" t="inlineStr">
        <is>
          <t>Workbook, README, analysis report, screenshots. Include findings only after reviewing the calculated workbook results.</t>
        </is>
      </c>
    </row>
  </sheetData>
  <mergeCells count="1">
    <mergeCell ref="A2:H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20" customWidth="1" min="5" max="5"/>
    <col width="23" customWidth="1" min="6" max="6"/>
    <col width="17" customWidth="1" min="7" max="7"/>
    <col width="18" customWidth="1" min="8" max="8"/>
    <col width="20" customWidth="1" min="9" max="9"/>
    <col width="20" customWidth="1" min="10" max="10"/>
    <col width="20" customWidth="1" min="11" max="11"/>
    <col width="23" customWidth="1" min="12" max="12"/>
    <col width="22" customWidth="1" min="13" max="13"/>
    <col width="18" customWidth="1" min="14" max="14"/>
    <col width="16" customWidth="1" min="15" max="15"/>
  </cols>
  <sheetData>
    <row r="1" ht="32" customHeight="1">
      <c r="A1" s="1" t="inlineStr">
        <is>
          <t>Inventory Master</t>
        </is>
      </c>
    </row>
    <row r="2" ht="25" customHeight="1">
      <c r="A2" s="2" t="inlineStr">
        <is>
          <t>30 fictional products. Verify formulas before using the workbook for portfolio conclusions.</t>
        </is>
      </c>
    </row>
    <row r="3" ht="36" customHeight="1">
      <c r="A3" s="5" t="inlineStr">
        <is>
          <t>SKU</t>
        </is>
      </c>
      <c r="B3" s="5" t="inlineStr">
        <is>
          <t>Product</t>
        </is>
      </c>
      <c r="C3" s="5" t="inlineStr">
        <is>
          <t>Category</t>
        </is>
      </c>
      <c r="D3" s="5" t="inlineStr">
        <is>
          <t>Unit Cost (₹)</t>
        </is>
      </c>
      <c r="E3" s="5" t="inlineStr">
        <is>
          <t>Current Stock (units)</t>
        </is>
      </c>
      <c r="F3" s="5" t="inlineStr">
        <is>
          <t>Avg Daily Demand (units)</t>
        </is>
      </c>
      <c r="G3" s="5" t="inlineStr">
        <is>
          <t>Lead Time (days)</t>
        </is>
      </c>
      <c r="H3" s="5" t="inlineStr">
        <is>
          <t>Safety Stock (units)</t>
        </is>
      </c>
      <c r="I3" s="5" t="inlineStr">
        <is>
          <t>Reorder Point (units)</t>
        </is>
      </c>
      <c r="J3" s="5" t="inlineStr">
        <is>
          <t>Inventory Value (₹)</t>
        </is>
      </c>
      <c r="K3" s="5" t="inlineStr">
        <is>
          <t>Recommended Supplier</t>
        </is>
      </c>
      <c r="L3" s="5" t="inlineStr">
        <is>
          <t>Supplier Unit Price (₹)</t>
        </is>
      </c>
      <c r="M3" s="5" t="inlineStr">
        <is>
          <t>Supplier Lead Time (days)</t>
        </is>
      </c>
      <c r="N3" s="5" t="inlineStr">
        <is>
          <t>Supplier MOQ (units)</t>
        </is>
      </c>
      <c r="O3" s="5" t="inlineStr">
        <is>
          <t>Supplier Score</t>
        </is>
      </c>
    </row>
    <row r="4">
      <c r="A4" s="6" t="inlineStr">
        <is>
          <t>SKU001</t>
        </is>
      </c>
      <c r="B4" s="6" t="inlineStr">
        <is>
          <t>Wireless Mouse</t>
        </is>
      </c>
      <c r="C4" s="6" t="inlineStr">
        <is>
          <t>Electronics</t>
        </is>
      </c>
      <c r="D4" s="7" t="n">
        <v>650</v>
      </c>
      <c r="E4" s="6" t="n">
        <v>74</v>
      </c>
      <c r="F4" s="6" t="n">
        <v>6</v>
      </c>
      <c r="G4" s="6" t="n">
        <v>3</v>
      </c>
      <c r="H4" s="6" t="n">
        <v>24</v>
      </c>
      <c r="I4" s="6">
        <f>F4*G4+H4</f>
        <v/>
      </c>
      <c r="J4" s="7">
        <f>D4*E4</f>
        <v/>
      </c>
      <c r="K4" s="6" t="inlineStr">
        <is>
          <t>Supplier A</t>
        </is>
      </c>
      <c r="L4" s="7" t="n">
        <v>635.21</v>
      </c>
      <c r="M4" s="6" t="n">
        <v>3</v>
      </c>
      <c r="N4" s="6" t="n">
        <v>10</v>
      </c>
      <c r="O4" s="8" t="n">
        <v>82.25642857142857</v>
      </c>
    </row>
    <row r="5">
      <c r="A5" s="6" t="inlineStr">
        <is>
          <t>SKU002</t>
        </is>
      </c>
      <c r="B5" s="6" t="inlineStr">
        <is>
          <t>USB-C Cable</t>
        </is>
      </c>
      <c r="C5" s="6" t="inlineStr">
        <is>
          <t>Electronics</t>
        </is>
      </c>
      <c r="D5" s="7" t="n">
        <v>180</v>
      </c>
      <c r="E5" s="6" t="n">
        <v>165</v>
      </c>
      <c r="F5" s="6" t="n">
        <v>7</v>
      </c>
      <c r="G5" s="6" t="n">
        <v>4</v>
      </c>
      <c r="H5" s="6" t="n">
        <v>14</v>
      </c>
      <c r="I5" s="6">
        <f>F5*G5+H5</f>
        <v/>
      </c>
      <c r="J5" s="7">
        <f>D5*E5</f>
        <v/>
      </c>
      <c r="K5" s="6" t="inlineStr">
        <is>
          <t>Supplier C</t>
        </is>
      </c>
      <c r="L5" s="7" t="n">
        <v>199.18</v>
      </c>
      <c r="M5" s="6" t="n">
        <v>6</v>
      </c>
      <c r="N5" s="6" t="n">
        <v>25</v>
      </c>
      <c r="O5" s="8" t="n">
        <v>88.70010057904074</v>
      </c>
    </row>
    <row r="6">
      <c r="A6" s="6" t="inlineStr">
        <is>
          <t>SKU003</t>
        </is>
      </c>
      <c r="B6" s="6" t="inlineStr">
        <is>
          <t>Laptop Stand</t>
        </is>
      </c>
      <c r="C6" s="6" t="inlineStr">
        <is>
          <t>Electronics</t>
        </is>
      </c>
      <c r="D6" s="7" t="n">
        <v>300</v>
      </c>
      <c r="E6" s="6" t="n">
        <v>35</v>
      </c>
      <c r="F6" s="6" t="n">
        <v>4</v>
      </c>
      <c r="G6" s="6" t="n">
        <v>3</v>
      </c>
      <c r="H6" s="6" t="n">
        <v>8</v>
      </c>
      <c r="I6" s="6">
        <f>F6*G6+H6</f>
        <v/>
      </c>
      <c r="J6" s="7">
        <f>D6*E6</f>
        <v/>
      </c>
      <c r="K6" s="6" t="inlineStr">
        <is>
          <t>Supplier C</t>
        </is>
      </c>
      <c r="L6" s="7" t="n">
        <v>327.71</v>
      </c>
      <c r="M6" s="6" t="n">
        <v>3</v>
      </c>
      <c r="N6" s="6" t="n">
        <v>20</v>
      </c>
      <c r="O6" s="8" t="n">
        <v>93.89787189893505</v>
      </c>
    </row>
    <row r="7">
      <c r="A7" s="6" t="inlineStr">
        <is>
          <t>SKU004</t>
        </is>
      </c>
      <c r="B7" s="6" t="inlineStr">
        <is>
          <t>Bluetooth Speaker</t>
        </is>
      </c>
      <c r="C7" s="6" t="inlineStr">
        <is>
          <t>Electronics</t>
        </is>
      </c>
      <c r="D7" s="7" t="n">
        <v>180</v>
      </c>
      <c r="E7" s="6" t="n">
        <v>89</v>
      </c>
      <c r="F7" s="6" t="n">
        <v>3</v>
      </c>
      <c r="G7" s="6" t="n">
        <v>11</v>
      </c>
      <c r="H7" s="6" t="n">
        <v>9</v>
      </c>
      <c r="I7" s="6">
        <f>F7*G7+H7</f>
        <v/>
      </c>
      <c r="J7" s="7">
        <f>D7*E7</f>
        <v/>
      </c>
      <c r="K7" s="6" t="inlineStr">
        <is>
          <t>Supplier C</t>
        </is>
      </c>
      <c r="L7" s="7" t="n">
        <v>180.38</v>
      </c>
      <c r="M7" s="6" t="n">
        <v>4</v>
      </c>
      <c r="N7" s="6" t="n">
        <v>10</v>
      </c>
      <c r="O7" s="8" t="n">
        <v>86.30128666481512</v>
      </c>
    </row>
    <row r="8">
      <c r="A8" s="6" t="inlineStr">
        <is>
          <t>SKU005</t>
        </is>
      </c>
      <c r="B8" s="6" t="inlineStr">
        <is>
          <t>Power Bank</t>
        </is>
      </c>
      <c r="C8" s="6" t="inlineStr">
        <is>
          <t>Electronics</t>
        </is>
      </c>
      <c r="D8" s="7" t="n">
        <v>800</v>
      </c>
      <c r="E8" s="6" t="n">
        <v>333</v>
      </c>
      <c r="F8" s="6" t="n">
        <v>16</v>
      </c>
      <c r="G8" s="6" t="n">
        <v>6</v>
      </c>
      <c r="H8" s="6" t="n">
        <v>80</v>
      </c>
      <c r="I8" s="6">
        <f>F8*G8+H8</f>
        <v/>
      </c>
      <c r="J8" s="7">
        <f>D8*E8</f>
        <v/>
      </c>
      <c r="K8" s="6" t="inlineStr">
        <is>
          <t>Supplier A</t>
        </is>
      </c>
      <c r="L8" s="7" t="n">
        <v>802.66</v>
      </c>
      <c r="M8" s="6" t="n">
        <v>3</v>
      </c>
      <c r="N8" s="6" t="n">
        <v>10</v>
      </c>
      <c r="O8" s="8" t="n">
        <v>96.12977375227371</v>
      </c>
    </row>
    <row r="9">
      <c r="A9" s="6" t="inlineStr">
        <is>
          <t>SKU006</t>
        </is>
      </c>
      <c r="B9" s="6" t="inlineStr">
        <is>
          <t>Desk Lamp</t>
        </is>
      </c>
      <c r="C9" s="6" t="inlineStr">
        <is>
          <t>Home</t>
        </is>
      </c>
      <c r="D9" s="7" t="n">
        <v>220</v>
      </c>
      <c r="E9" s="6" t="n">
        <v>49</v>
      </c>
      <c r="F9" s="6" t="n">
        <v>3</v>
      </c>
      <c r="G9" s="6" t="n">
        <v>5</v>
      </c>
      <c r="H9" s="6" t="n">
        <v>15</v>
      </c>
      <c r="I9" s="6">
        <f>F9*G9+H9</f>
        <v/>
      </c>
      <c r="J9" s="7">
        <f>D9*E9</f>
        <v/>
      </c>
      <c r="K9" s="6" t="inlineStr">
        <is>
          <t>Supplier A</t>
        </is>
      </c>
      <c r="L9" s="7" t="n">
        <v>198.58</v>
      </c>
      <c r="M9" s="6" t="n">
        <v>11</v>
      </c>
      <c r="N9" s="6" t="n">
        <v>10</v>
      </c>
      <c r="O9" s="8" t="n">
        <v>84.01590909090909</v>
      </c>
    </row>
    <row r="10">
      <c r="A10" s="6" t="inlineStr">
        <is>
          <t>SKU007</t>
        </is>
      </c>
      <c r="B10" s="6" t="inlineStr">
        <is>
          <t>Storage Box</t>
        </is>
      </c>
      <c r="C10" s="6" t="inlineStr">
        <is>
          <t>Home</t>
        </is>
      </c>
      <c r="D10" s="7" t="n">
        <v>220</v>
      </c>
      <c r="E10" s="6" t="n">
        <v>40</v>
      </c>
      <c r="F10" s="6" t="n">
        <v>7</v>
      </c>
      <c r="G10" s="6" t="n">
        <v>6</v>
      </c>
      <c r="H10" s="6" t="n">
        <v>28</v>
      </c>
      <c r="I10" s="6">
        <f>F10*G10+H10</f>
        <v/>
      </c>
      <c r="J10" s="7">
        <f>D10*E10</f>
        <v/>
      </c>
      <c r="K10" s="6" t="inlineStr">
        <is>
          <t>Supplier B</t>
        </is>
      </c>
      <c r="L10" s="7" t="n">
        <v>259.3</v>
      </c>
      <c r="M10" s="6" t="n">
        <v>11</v>
      </c>
      <c r="N10" s="6" t="n">
        <v>50</v>
      </c>
      <c r="O10" s="8" t="n">
        <v>90.06761210251376</v>
      </c>
    </row>
    <row r="11">
      <c r="A11" s="6" t="inlineStr">
        <is>
          <t>SKU008</t>
        </is>
      </c>
      <c r="B11" s="6" t="inlineStr">
        <is>
          <t>Water Bottle</t>
        </is>
      </c>
      <c r="C11" s="6" t="inlineStr">
        <is>
          <t>Lifestyle</t>
        </is>
      </c>
      <c r="D11" s="7" t="n">
        <v>120</v>
      </c>
      <c r="E11" s="6" t="n">
        <v>206</v>
      </c>
      <c r="F11" s="6" t="n">
        <v>15</v>
      </c>
      <c r="G11" s="6" t="n">
        <v>4</v>
      </c>
      <c r="H11" s="6" t="n">
        <v>60</v>
      </c>
      <c r="I11" s="6">
        <f>F11*G11+H11</f>
        <v/>
      </c>
      <c r="J11" s="7">
        <f>D11*E11</f>
        <v/>
      </c>
      <c r="K11" s="6" t="inlineStr">
        <is>
          <t>Supplier A</t>
        </is>
      </c>
      <c r="L11" s="7" t="n">
        <v>126.63</v>
      </c>
      <c r="M11" s="6" t="n">
        <v>11</v>
      </c>
      <c r="N11" s="6" t="n">
        <v>20</v>
      </c>
      <c r="O11" s="8" t="n">
        <v>77.74753903641964</v>
      </c>
    </row>
    <row r="12">
      <c r="A12" s="6" t="inlineStr">
        <is>
          <t>SKU009</t>
        </is>
      </c>
      <c r="B12" s="6" t="inlineStr">
        <is>
          <t>Travel Mug</t>
        </is>
      </c>
      <c r="C12" s="6" t="inlineStr">
        <is>
          <t>Lifestyle</t>
        </is>
      </c>
      <c r="D12" s="7" t="n">
        <v>500</v>
      </c>
      <c r="E12" s="6" t="n">
        <v>85</v>
      </c>
      <c r="F12" s="6" t="n">
        <v>11</v>
      </c>
      <c r="G12" s="6" t="n">
        <v>3</v>
      </c>
      <c r="H12" s="6" t="n">
        <v>55</v>
      </c>
      <c r="I12" s="6">
        <f>F12*G12+H12</f>
        <v/>
      </c>
      <c r="J12" s="7">
        <f>D12*E12</f>
        <v/>
      </c>
      <c r="K12" s="6" t="inlineStr">
        <is>
          <t>Supplier C</t>
        </is>
      </c>
      <c r="L12" s="7" t="n">
        <v>485</v>
      </c>
      <c r="M12" s="6" t="n">
        <v>8</v>
      </c>
      <c r="N12" s="6" t="n">
        <v>10</v>
      </c>
      <c r="O12" s="8" t="n">
        <v>90.21309278350515</v>
      </c>
    </row>
    <row r="13">
      <c r="A13" s="6" t="inlineStr">
        <is>
          <t>SKU010</t>
        </is>
      </c>
      <c r="B13" s="6" t="inlineStr">
        <is>
          <t>Notebook Set</t>
        </is>
      </c>
      <c r="C13" s="6" t="inlineStr">
        <is>
          <t>Stationery</t>
        </is>
      </c>
      <c r="D13" s="7" t="n">
        <v>1500</v>
      </c>
      <c r="E13" s="6" t="n">
        <v>351</v>
      </c>
      <c r="F13" s="6" t="n">
        <v>15</v>
      </c>
      <c r="G13" s="6" t="n">
        <v>4</v>
      </c>
      <c r="H13" s="6" t="n">
        <v>60</v>
      </c>
      <c r="I13" s="6">
        <f>F13*G13+H13</f>
        <v/>
      </c>
      <c r="J13" s="7">
        <f>D13*E13</f>
        <v/>
      </c>
      <c r="K13" s="6" t="inlineStr">
        <is>
          <t>Supplier A</t>
        </is>
      </c>
      <c r="L13" s="7" t="n">
        <v>1573.35</v>
      </c>
      <c r="M13" s="6" t="n">
        <v>4</v>
      </c>
      <c r="N13" s="6" t="n">
        <v>10</v>
      </c>
      <c r="O13" s="8" t="n">
        <v>93.99445895700258</v>
      </c>
    </row>
    <row r="14">
      <c r="A14" s="6" t="inlineStr">
        <is>
          <t>SKU011</t>
        </is>
      </c>
      <c r="B14" s="6" t="inlineStr">
        <is>
          <t>Ballpoint Pens</t>
        </is>
      </c>
      <c r="C14" s="6" t="inlineStr">
        <is>
          <t>Stationery</t>
        </is>
      </c>
      <c r="D14" s="7" t="n">
        <v>500</v>
      </c>
      <c r="E14" s="6" t="n">
        <v>388</v>
      </c>
      <c r="F14" s="6" t="n">
        <v>14</v>
      </c>
      <c r="G14" s="6" t="n">
        <v>12</v>
      </c>
      <c r="H14" s="6" t="n">
        <v>42</v>
      </c>
      <c r="I14" s="6">
        <f>F14*G14+H14</f>
        <v/>
      </c>
      <c r="J14" s="7">
        <f>D14*E14</f>
        <v/>
      </c>
      <c r="K14" s="6" t="inlineStr">
        <is>
          <t>Supplier A</t>
        </is>
      </c>
      <c r="L14" s="7" t="n">
        <v>538.1</v>
      </c>
      <c r="M14" s="6" t="n">
        <v>3</v>
      </c>
      <c r="N14" s="6" t="n">
        <v>25</v>
      </c>
      <c r="O14" s="8" t="n">
        <v>88.27564749463781</v>
      </c>
    </row>
    <row r="15">
      <c r="A15" s="6" t="inlineStr">
        <is>
          <t>SKU012</t>
        </is>
      </c>
      <c r="B15" s="6" t="inlineStr">
        <is>
          <t>Backpack</t>
        </is>
      </c>
      <c r="C15" s="6" t="inlineStr">
        <is>
          <t>Lifestyle</t>
        </is>
      </c>
      <c r="D15" s="7" t="n">
        <v>120</v>
      </c>
      <c r="E15" s="6" t="n">
        <v>18</v>
      </c>
      <c r="F15" s="6" t="n">
        <v>4</v>
      </c>
      <c r="G15" s="6" t="n">
        <v>6</v>
      </c>
      <c r="H15" s="6" t="n">
        <v>16</v>
      </c>
      <c r="I15" s="6">
        <f>F15*G15+H15</f>
        <v/>
      </c>
      <c r="J15" s="7">
        <f>D15*E15</f>
        <v/>
      </c>
      <c r="K15" s="6" t="inlineStr">
        <is>
          <t>Supplier C</t>
        </is>
      </c>
      <c r="L15" s="7" t="n">
        <v>117.61</v>
      </c>
      <c r="M15" s="6" t="n">
        <v>5</v>
      </c>
      <c r="N15" s="6" t="n">
        <v>25</v>
      </c>
      <c r="O15" s="8" t="n">
        <v>95.33770937845422</v>
      </c>
    </row>
    <row r="16">
      <c r="A16" s="6" t="inlineStr">
        <is>
          <t>SKU013</t>
        </is>
      </c>
      <c r="B16" s="6" t="inlineStr">
        <is>
          <t>Phone Case</t>
        </is>
      </c>
      <c r="C16" s="6" t="inlineStr">
        <is>
          <t>Electronics</t>
        </is>
      </c>
      <c r="D16" s="7" t="n">
        <v>1200</v>
      </c>
      <c r="E16" s="6" t="n">
        <v>91</v>
      </c>
      <c r="F16" s="6" t="n">
        <v>10</v>
      </c>
      <c r="G16" s="6" t="n">
        <v>4</v>
      </c>
      <c r="H16" s="6" t="n">
        <v>50</v>
      </c>
      <c r="I16" s="6">
        <f>F16*G16+H16</f>
        <v/>
      </c>
      <c r="J16" s="7">
        <f>D16*E16</f>
        <v/>
      </c>
      <c r="K16" s="6" t="inlineStr">
        <is>
          <t>Supplier C</t>
        </is>
      </c>
      <c r="L16" s="7" t="n">
        <v>1109.31</v>
      </c>
      <c r="M16" s="6" t="n">
        <v>5</v>
      </c>
      <c r="N16" s="6" t="n">
        <v>10</v>
      </c>
      <c r="O16" s="8" t="n">
        <v>89.40053459119497</v>
      </c>
    </row>
    <row r="17">
      <c r="A17" s="6" t="inlineStr">
        <is>
          <t>SKU014</t>
        </is>
      </c>
      <c r="B17" s="6" t="inlineStr">
        <is>
          <t>Keyboard</t>
        </is>
      </c>
      <c r="C17" s="6" t="inlineStr">
        <is>
          <t>Electronics</t>
        </is>
      </c>
      <c r="D17" s="7" t="n">
        <v>350</v>
      </c>
      <c r="E17" s="6" t="n">
        <v>209</v>
      </c>
      <c r="F17" s="6" t="n">
        <v>14</v>
      </c>
      <c r="G17" s="6" t="n">
        <v>5</v>
      </c>
      <c r="H17" s="6" t="n">
        <v>56</v>
      </c>
      <c r="I17" s="6">
        <f>F17*G17+H17</f>
        <v/>
      </c>
      <c r="J17" s="7">
        <f>D17*E17</f>
        <v/>
      </c>
      <c r="K17" s="6" t="inlineStr">
        <is>
          <t>Supplier A</t>
        </is>
      </c>
      <c r="L17" s="7" t="n">
        <v>391.59</v>
      </c>
      <c r="M17" s="6" t="n">
        <v>3</v>
      </c>
      <c r="N17" s="6" t="n">
        <v>25</v>
      </c>
      <c r="O17" s="8" t="n">
        <v>90.97365075716949</v>
      </c>
    </row>
    <row r="18">
      <c r="A18" s="6" t="inlineStr">
        <is>
          <t>SKU015</t>
        </is>
      </c>
      <c r="B18" s="6" t="inlineStr">
        <is>
          <t>Monitor Riser</t>
        </is>
      </c>
      <c r="C18" s="6" t="inlineStr">
        <is>
          <t>Home</t>
        </is>
      </c>
      <c r="D18" s="7" t="n">
        <v>180</v>
      </c>
      <c r="E18" s="6" t="n">
        <v>158</v>
      </c>
      <c r="F18" s="6" t="n">
        <v>11</v>
      </c>
      <c r="G18" s="6" t="n">
        <v>4</v>
      </c>
      <c r="H18" s="6" t="n">
        <v>33</v>
      </c>
      <c r="I18" s="6">
        <f>F18*G18+H18</f>
        <v/>
      </c>
      <c r="J18" s="7">
        <f>D18*E18</f>
        <v/>
      </c>
      <c r="K18" s="6" t="inlineStr">
        <is>
          <t>Supplier C</t>
        </is>
      </c>
      <c r="L18" s="7" t="n">
        <v>164.24</v>
      </c>
      <c r="M18" s="6" t="n">
        <v>3</v>
      </c>
      <c r="N18" s="6" t="n">
        <v>50</v>
      </c>
      <c r="O18" s="8" t="n">
        <v>99.55</v>
      </c>
    </row>
    <row r="19">
      <c r="A19" s="6" t="inlineStr">
        <is>
          <t>SKU016</t>
        </is>
      </c>
      <c r="B19" s="6" t="inlineStr">
        <is>
          <t>Yoga Mat</t>
        </is>
      </c>
      <c r="C19" s="6" t="inlineStr">
        <is>
          <t>Fitness</t>
        </is>
      </c>
      <c r="D19" s="7" t="n">
        <v>800</v>
      </c>
      <c r="E19" s="6" t="n">
        <v>214</v>
      </c>
      <c r="F19" s="6" t="n">
        <v>10</v>
      </c>
      <c r="G19" s="6" t="n">
        <v>5</v>
      </c>
      <c r="H19" s="6" t="n">
        <v>50</v>
      </c>
      <c r="I19" s="6">
        <f>F19*G19+H19</f>
        <v/>
      </c>
      <c r="J19" s="7">
        <f>D19*E19</f>
        <v/>
      </c>
      <c r="K19" s="6" t="inlineStr">
        <is>
          <t>Supplier A</t>
        </is>
      </c>
      <c r="L19" s="7" t="n">
        <v>814.47</v>
      </c>
      <c r="M19" s="6" t="n">
        <v>7</v>
      </c>
      <c r="N19" s="6" t="n">
        <v>20</v>
      </c>
      <c r="O19" s="8" t="n">
        <v>98.50618248677054</v>
      </c>
    </row>
    <row r="20">
      <c r="A20" s="6" t="inlineStr">
        <is>
          <t>SKU017</t>
        </is>
      </c>
      <c r="B20" s="6" t="inlineStr">
        <is>
          <t>Resistance Bands</t>
        </is>
      </c>
      <c r="C20" s="6" t="inlineStr">
        <is>
          <t>Fitness</t>
        </is>
      </c>
      <c r="D20" s="7" t="n">
        <v>220</v>
      </c>
      <c r="E20" s="6" t="n">
        <v>137</v>
      </c>
      <c r="F20" s="6" t="n">
        <v>10</v>
      </c>
      <c r="G20" s="6" t="n">
        <v>8</v>
      </c>
      <c r="H20" s="6" t="n">
        <v>20</v>
      </c>
      <c r="I20" s="6">
        <f>F20*G20+H20</f>
        <v/>
      </c>
      <c r="J20" s="7">
        <f>D20*E20</f>
        <v/>
      </c>
      <c r="K20" s="6" t="inlineStr">
        <is>
          <t>Supplier A</t>
        </is>
      </c>
      <c r="L20" s="7" t="n">
        <v>257.65</v>
      </c>
      <c r="M20" s="6" t="n">
        <v>5</v>
      </c>
      <c r="N20" s="6" t="n">
        <v>25</v>
      </c>
      <c r="O20" s="8" t="n">
        <v>92.7140685037842</v>
      </c>
    </row>
    <row r="21">
      <c r="A21" s="6" t="inlineStr">
        <is>
          <t>SKU018</t>
        </is>
      </c>
      <c r="B21" s="6" t="inlineStr">
        <is>
          <t>Running Bottle</t>
        </is>
      </c>
      <c r="C21" s="6" t="inlineStr">
        <is>
          <t>Fitness</t>
        </is>
      </c>
      <c r="D21" s="7" t="n">
        <v>1200</v>
      </c>
      <c r="E21" s="6" t="n">
        <v>42</v>
      </c>
      <c r="F21" s="6" t="n">
        <v>4</v>
      </c>
      <c r="G21" s="6" t="n">
        <v>8</v>
      </c>
      <c r="H21" s="6" t="n">
        <v>20</v>
      </c>
      <c r="I21" s="6">
        <f>F21*G21+H21</f>
        <v/>
      </c>
      <c r="J21" s="7">
        <f>D21*E21</f>
        <v/>
      </c>
      <c r="K21" s="6" t="inlineStr">
        <is>
          <t>Supplier A</t>
        </is>
      </c>
      <c r="L21" s="7" t="n">
        <v>1056.61</v>
      </c>
      <c r="M21" s="6" t="n">
        <v>11</v>
      </c>
      <c r="N21" s="6" t="n">
        <v>20</v>
      </c>
      <c r="O21" s="8" t="n">
        <v>91.21681818181818</v>
      </c>
    </row>
    <row r="22">
      <c r="A22" s="6" t="inlineStr">
        <is>
          <t>SKU019</t>
        </is>
      </c>
      <c r="B22" s="6" t="inlineStr">
        <is>
          <t>Lunch Container</t>
        </is>
      </c>
      <c r="C22" s="6" t="inlineStr">
        <is>
          <t>Home</t>
        </is>
      </c>
      <c r="D22" s="7" t="n">
        <v>120</v>
      </c>
      <c r="E22" s="6" t="n">
        <v>126</v>
      </c>
      <c r="F22" s="6" t="n">
        <v>9</v>
      </c>
      <c r="G22" s="6" t="n">
        <v>12</v>
      </c>
      <c r="H22" s="6" t="n">
        <v>36</v>
      </c>
      <c r="I22" s="6">
        <f>F22*G22+H22</f>
        <v/>
      </c>
      <c r="J22" s="7">
        <f>D22*E22</f>
        <v/>
      </c>
      <c r="K22" s="6" t="inlineStr">
        <is>
          <t>Supplier B</t>
        </is>
      </c>
      <c r="L22" s="7" t="n">
        <v>119.25</v>
      </c>
      <c r="M22" s="6" t="n">
        <v>5</v>
      </c>
      <c r="N22" s="6" t="n">
        <v>25</v>
      </c>
      <c r="O22" s="8" t="n">
        <v>89.73076144435058</v>
      </c>
    </row>
    <row r="23">
      <c r="A23" s="6" t="inlineStr">
        <is>
          <t>SKU020</t>
        </is>
      </c>
      <c r="B23" s="6" t="inlineStr">
        <is>
          <t>Bedside Organizer</t>
        </is>
      </c>
      <c r="C23" s="6" t="inlineStr">
        <is>
          <t>Home</t>
        </is>
      </c>
      <c r="D23" s="7" t="n">
        <v>650</v>
      </c>
      <c r="E23" s="6" t="n">
        <v>182</v>
      </c>
      <c r="F23" s="6" t="n">
        <v>18</v>
      </c>
      <c r="G23" s="6" t="n">
        <v>9</v>
      </c>
      <c r="H23" s="6" t="n">
        <v>90</v>
      </c>
      <c r="I23" s="6">
        <f>F23*G23+H23</f>
        <v/>
      </c>
      <c r="J23" s="7">
        <f>D23*E23</f>
        <v/>
      </c>
      <c r="K23" s="6" t="inlineStr">
        <is>
          <t>Supplier B</t>
        </is>
      </c>
      <c r="L23" s="7" t="n">
        <v>726.78</v>
      </c>
      <c r="M23" s="6" t="n">
        <v>5</v>
      </c>
      <c r="N23" s="6" t="n">
        <v>10</v>
      </c>
      <c r="O23" s="8" t="n">
        <v>89.18987176311953</v>
      </c>
    </row>
    <row r="24">
      <c r="A24" s="6" t="inlineStr">
        <is>
          <t>SKU021</t>
        </is>
      </c>
      <c r="B24" s="6" t="inlineStr">
        <is>
          <t>Charging Adapter</t>
        </is>
      </c>
      <c r="C24" s="6" t="inlineStr">
        <is>
          <t>Electronics</t>
        </is>
      </c>
      <c r="D24" s="7" t="n">
        <v>220</v>
      </c>
      <c r="E24" s="6" t="n">
        <v>163</v>
      </c>
      <c r="F24" s="6" t="n">
        <v>7</v>
      </c>
      <c r="G24" s="6" t="n">
        <v>6</v>
      </c>
      <c r="H24" s="6" t="n">
        <v>28</v>
      </c>
      <c r="I24" s="6">
        <f>F24*G24+H24</f>
        <v/>
      </c>
      <c r="J24" s="7">
        <f>D24*E24</f>
        <v/>
      </c>
      <c r="K24" s="6" t="inlineStr">
        <is>
          <t>Supplier A</t>
        </is>
      </c>
      <c r="L24" s="7" t="n">
        <v>206.74</v>
      </c>
      <c r="M24" s="6" t="n">
        <v>3</v>
      </c>
      <c r="N24" s="6" t="n">
        <v>10</v>
      </c>
      <c r="O24" s="8" t="n">
        <v>98.80002128277063</v>
      </c>
    </row>
    <row r="25">
      <c r="A25" s="6" t="inlineStr">
        <is>
          <t>SKU022</t>
        </is>
      </c>
      <c r="B25" s="6" t="inlineStr">
        <is>
          <t>Headphones</t>
        </is>
      </c>
      <c r="C25" s="6" t="inlineStr">
        <is>
          <t>Electronics</t>
        </is>
      </c>
      <c r="D25" s="7" t="n">
        <v>300</v>
      </c>
      <c r="E25" s="6" t="n">
        <v>100</v>
      </c>
      <c r="F25" s="6" t="n">
        <v>15</v>
      </c>
      <c r="G25" s="6" t="n">
        <v>8</v>
      </c>
      <c r="H25" s="6" t="n">
        <v>45</v>
      </c>
      <c r="I25" s="6">
        <f>F25*G25+H25</f>
        <v/>
      </c>
      <c r="J25" s="7">
        <f>D25*E25</f>
        <v/>
      </c>
      <c r="K25" s="6" t="inlineStr">
        <is>
          <t>Supplier A</t>
        </is>
      </c>
      <c r="L25" s="7" t="n">
        <v>325.89</v>
      </c>
      <c r="M25" s="6" t="n">
        <v>4</v>
      </c>
      <c r="N25" s="6" t="n">
        <v>50</v>
      </c>
      <c r="O25" s="8" t="n">
        <v>93.27890131639509</v>
      </c>
    </row>
    <row r="26">
      <c r="A26" s="6" t="inlineStr">
        <is>
          <t>SKU023</t>
        </is>
      </c>
      <c r="B26" s="6" t="inlineStr">
        <is>
          <t>Packing Cubes</t>
        </is>
      </c>
      <c r="C26" s="6" t="inlineStr">
        <is>
          <t>Lifestyle</t>
        </is>
      </c>
      <c r="D26" s="7" t="n">
        <v>420</v>
      </c>
      <c r="E26" s="6" t="n">
        <v>92</v>
      </c>
      <c r="F26" s="6" t="n">
        <v>18</v>
      </c>
      <c r="G26" s="6" t="n">
        <v>4</v>
      </c>
      <c r="H26" s="6" t="n">
        <v>36</v>
      </c>
      <c r="I26" s="6">
        <f>F26*G26+H26</f>
        <v/>
      </c>
      <c r="J26" s="7">
        <f>D26*E26</f>
        <v/>
      </c>
      <c r="K26" s="6" t="inlineStr">
        <is>
          <t>Supplier B</t>
        </is>
      </c>
      <c r="L26" s="7" t="n">
        <v>482.65</v>
      </c>
      <c r="M26" s="6" t="n">
        <v>10</v>
      </c>
      <c r="N26" s="6" t="n">
        <v>50</v>
      </c>
      <c r="O26" s="8" t="n">
        <v>95.24406246762665</v>
      </c>
    </row>
    <row r="27">
      <c r="A27" s="6" t="inlineStr">
        <is>
          <t>SKU024</t>
        </is>
      </c>
      <c r="B27" s="6" t="inlineStr">
        <is>
          <t>Sticky Notes</t>
        </is>
      </c>
      <c r="C27" s="6" t="inlineStr">
        <is>
          <t>Stationery</t>
        </is>
      </c>
      <c r="D27" s="7" t="n">
        <v>150</v>
      </c>
      <c r="E27" s="6" t="n">
        <v>114</v>
      </c>
      <c r="F27" s="6" t="n">
        <v>8</v>
      </c>
      <c r="G27" s="6" t="n">
        <v>9</v>
      </c>
      <c r="H27" s="6" t="n">
        <v>16</v>
      </c>
      <c r="I27" s="6">
        <f>F27*G27+H27</f>
        <v/>
      </c>
      <c r="J27" s="7">
        <f>D27*E27</f>
        <v/>
      </c>
      <c r="K27" s="6" t="inlineStr">
        <is>
          <t>Supplier B</t>
        </is>
      </c>
      <c r="L27" s="7" t="n">
        <v>156.31</v>
      </c>
      <c r="M27" s="6" t="n">
        <v>5</v>
      </c>
      <c r="N27" s="6" t="n">
        <v>20</v>
      </c>
      <c r="O27" s="8" t="n">
        <v>88.98212590365301</v>
      </c>
    </row>
    <row r="28">
      <c r="A28" s="6" t="inlineStr">
        <is>
          <t>SKU025</t>
        </is>
      </c>
      <c r="B28" s="6" t="inlineStr">
        <is>
          <t>Desk Organizer</t>
        </is>
      </c>
      <c r="C28" s="6" t="inlineStr">
        <is>
          <t>Stationery</t>
        </is>
      </c>
      <c r="D28" s="7" t="n">
        <v>300</v>
      </c>
      <c r="E28" s="6" t="n">
        <v>45</v>
      </c>
      <c r="F28" s="6" t="n">
        <v>17</v>
      </c>
      <c r="G28" s="6" t="n">
        <v>11</v>
      </c>
      <c r="H28" s="6" t="n">
        <v>68</v>
      </c>
      <c r="I28" s="6">
        <f>F28*G28+H28</f>
        <v/>
      </c>
      <c r="J28" s="7">
        <f>D28*E28</f>
        <v/>
      </c>
      <c r="K28" s="6" t="inlineStr">
        <is>
          <t>Supplier B</t>
        </is>
      </c>
      <c r="L28" s="7" t="n">
        <v>349.15</v>
      </c>
      <c r="M28" s="6" t="n">
        <v>3</v>
      </c>
      <c r="N28" s="6" t="n">
        <v>50</v>
      </c>
      <c r="O28" s="8" t="n">
        <v>89.99892437534635</v>
      </c>
    </row>
    <row r="29">
      <c r="A29" s="6" t="inlineStr">
        <is>
          <t>SKU026</t>
        </is>
      </c>
      <c r="B29" s="6" t="inlineStr">
        <is>
          <t>Fitness Towel</t>
        </is>
      </c>
      <c r="C29" s="6" t="inlineStr">
        <is>
          <t>Fitness</t>
        </is>
      </c>
      <c r="D29" s="7" t="n">
        <v>650</v>
      </c>
      <c r="E29" s="6" t="n">
        <v>176</v>
      </c>
      <c r="F29" s="6" t="n">
        <v>6</v>
      </c>
      <c r="G29" s="6" t="n">
        <v>11</v>
      </c>
      <c r="H29" s="6" t="n">
        <v>24</v>
      </c>
      <c r="I29" s="6">
        <f>F29*G29+H29</f>
        <v/>
      </c>
      <c r="J29" s="7">
        <f>D29*E29</f>
        <v/>
      </c>
      <c r="K29" s="6" t="inlineStr">
        <is>
          <t>Supplier A</t>
        </is>
      </c>
      <c r="L29" s="7" t="n">
        <v>727.97</v>
      </c>
      <c r="M29" s="6" t="n">
        <v>6</v>
      </c>
      <c r="N29" s="6" t="n">
        <v>50</v>
      </c>
      <c r="O29" s="8" t="n">
        <v>90.52586844238087</v>
      </c>
    </row>
    <row r="30">
      <c r="A30" s="6" t="inlineStr">
        <is>
          <t>SKU027</t>
        </is>
      </c>
      <c r="B30" s="6" t="inlineStr">
        <is>
          <t>Reusable Bag</t>
        </is>
      </c>
      <c r="C30" s="6" t="inlineStr">
        <is>
          <t>Lifestyle</t>
        </is>
      </c>
      <c r="D30" s="7" t="n">
        <v>250</v>
      </c>
      <c r="E30" s="6" t="n">
        <v>52</v>
      </c>
      <c r="F30" s="6" t="n">
        <v>6</v>
      </c>
      <c r="G30" s="6" t="n">
        <v>7</v>
      </c>
      <c r="H30" s="6" t="n">
        <v>30</v>
      </c>
      <c r="I30" s="6">
        <f>F30*G30+H30</f>
        <v/>
      </c>
      <c r="J30" s="7">
        <f>D30*E30</f>
        <v/>
      </c>
      <c r="K30" s="6" t="inlineStr">
        <is>
          <t>Supplier A</t>
        </is>
      </c>
      <c r="L30" s="7" t="n">
        <v>269.72</v>
      </c>
      <c r="M30" s="6" t="n">
        <v>4</v>
      </c>
      <c r="N30" s="6" t="n">
        <v>50</v>
      </c>
      <c r="O30" s="8" t="n">
        <v>92.01552573038707</v>
      </c>
    </row>
    <row r="31">
      <c r="A31" s="6" t="inlineStr">
        <is>
          <t>SKU028</t>
        </is>
      </c>
      <c r="B31" s="6" t="inlineStr">
        <is>
          <t>Drawer Dividers</t>
        </is>
      </c>
      <c r="C31" s="6" t="inlineStr">
        <is>
          <t>Home</t>
        </is>
      </c>
      <c r="D31" s="7" t="n">
        <v>350</v>
      </c>
      <c r="E31" s="6" t="n">
        <v>70</v>
      </c>
      <c r="F31" s="6" t="n">
        <v>3</v>
      </c>
      <c r="G31" s="6" t="n">
        <v>7</v>
      </c>
      <c r="H31" s="6" t="n">
        <v>9</v>
      </c>
      <c r="I31" s="6">
        <f>F31*G31+H31</f>
        <v/>
      </c>
      <c r="J31" s="7">
        <f>D31*E31</f>
        <v/>
      </c>
      <c r="K31" s="6" t="inlineStr">
        <is>
          <t>Supplier A</t>
        </is>
      </c>
      <c r="L31" s="7" t="n">
        <v>334.49</v>
      </c>
      <c r="M31" s="6" t="n">
        <v>4</v>
      </c>
      <c r="N31" s="6" t="n">
        <v>50</v>
      </c>
      <c r="O31" s="8" t="n">
        <v>92.745</v>
      </c>
    </row>
    <row r="32">
      <c r="A32" s="6" t="inlineStr">
        <is>
          <t>SKU029</t>
        </is>
      </c>
      <c r="B32" s="6" t="inlineStr">
        <is>
          <t>Webcam Cover</t>
        </is>
      </c>
      <c r="C32" s="6" t="inlineStr">
        <is>
          <t>Electronics</t>
        </is>
      </c>
      <c r="D32" s="7" t="n">
        <v>1500</v>
      </c>
      <c r="E32" s="6" t="n">
        <v>51</v>
      </c>
      <c r="F32" s="6" t="n">
        <v>6</v>
      </c>
      <c r="G32" s="6" t="n">
        <v>7</v>
      </c>
      <c r="H32" s="6" t="n">
        <v>18</v>
      </c>
      <c r="I32" s="6">
        <f>F32*G32+H32</f>
        <v/>
      </c>
      <c r="J32" s="7">
        <f>D32*E32</f>
        <v/>
      </c>
      <c r="K32" s="6" t="inlineStr">
        <is>
          <t>Supplier B</t>
        </is>
      </c>
      <c r="L32" s="7" t="n">
        <v>1418.08</v>
      </c>
      <c r="M32" s="6" t="n">
        <v>7</v>
      </c>
      <c r="N32" s="6" t="n">
        <v>25</v>
      </c>
      <c r="O32" s="8" t="n">
        <v>87.58332119082542</v>
      </c>
    </row>
    <row r="33">
      <c r="A33" s="6" t="inlineStr">
        <is>
          <t>SKU030</t>
        </is>
      </c>
      <c r="B33" s="6" t="inlineStr">
        <is>
          <t>Pen Holder</t>
        </is>
      </c>
      <c r="C33" s="6" t="inlineStr">
        <is>
          <t>Stationery</t>
        </is>
      </c>
      <c r="D33" s="7" t="n">
        <v>250</v>
      </c>
      <c r="E33" s="6" t="n">
        <v>169</v>
      </c>
      <c r="F33" s="6" t="n">
        <v>8</v>
      </c>
      <c r="G33" s="6" t="n">
        <v>11</v>
      </c>
      <c r="H33" s="6" t="n">
        <v>16</v>
      </c>
      <c r="I33" s="6">
        <f>F33*G33+H33</f>
        <v/>
      </c>
      <c r="J33" s="7">
        <f>D33*E33</f>
        <v/>
      </c>
      <c r="K33" s="6" t="inlineStr">
        <is>
          <t>Supplier B</t>
        </is>
      </c>
      <c r="L33" s="7" t="n">
        <v>225.7</v>
      </c>
      <c r="M33" s="6" t="n">
        <v>13</v>
      </c>
      <c r="N33" s="6" t="n">
        <v>20</v>
      </c>
      <c r="O33" s="8" t="n">
        <v>87.25339490814901</v>
      </c>
    </row>
  </sheetData>
  <mergeCells count="1">
    <mergeCell ref="A2:H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9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7" customWidth="1" min="4" max="4"/>
    <col width="18" customWidth="1" min="5" max="5"/>
    <col width="14" customWidth="1" min="6" max="6"/>
    <col width="17" customWidth="1" min="7" max="7"/>
    <col width="23" customWidth="1" min="8" max="8"/>
    <col width="20" customWidth="1" min="9" max="9"/>
    <col width="20" customWidth="1" min="10" max="10"/>
    <col width="22" customWidth="1" min="11" max="11"/>
    <col width="25" customWidth="1" min="12" max="12"/>
    <col width="18" customWidth="1" min="13" max="13"/>
    <col width="15" customWidth="1" min="14" max="14"/>
  </cols>
  <sheetData>
    <row r="1" ht="32" customHeight="1">
      <c r="A1" s="1" t="inlineStr">
        <is>
          <t>Supplier Comparison</t>
        </is>
      </c>
    </row>
    <row r="2" ht="25" customHeight="1">
      <c r="A2" s="2" t="inlineStr">
        <is>
          <t>Compare price, lead time, MOQ, quality and reliability. Scores are relative within each SKU.</t>
        </is>
      </c>
    </row>
    <row r="3" ht="36" customHeight="1">
      <c r="A3" s="5" t="inlineStr">
        <is>
          <t>SKU</t>
        </is>
      </c>
      <c r="B3" s="5" t="inlineStr">
        <is>
          <t>Product</t>
        </is>
      </c>
      <c r="C3" s="5" t="inlineStr">
        <is>
          <t>Supplier</t>
        </is>
      </c>
      <c r="D3" s="5" t="inlineStr">
        <is>
          <t>Unit Price (₹)</t>
        </is>
      </c>
      <c r="E3" s="5" t="inlineStr">
        <is>
          <t>Lead Time (days)</t>
        </is>
      </c>
      <c r="F3" s="5" t="inlineStr">
        <is>
          <t>MOQ (units)</t>
        </is>
      </c>
      <c r="G3" s="5" t="inlineStr">
        <is>
          <t>Defect Rate (%)</t>
        </is>
      </c>
      <c r="H3" s="5" t="inlineStr">
        <is>
          <t>On-time Delivery (%)</t>
        </is>
      </c>
      <c r="I3" s="5" t="inlineStr">
        <is>
          <t>Price Score (0-100)</t>
        </is>
      </c>
      <c r="J3" s="5" t="inlineStr">
        <is>
          <t>Lead Score (0-100)</t>
        </is>
      </c>
      <c r="K3" s="5" t="inlineStr">
        <is>
          <t>Quality Score (0-100)</t>
        </is>
      </c>
      <c r="L3" s="5" t="inlineStr">
        <is>
          <t>Reliability Score (0-100)</t>
        </is>
      </c>
      <c r="M3" s="5" t="inlineStr">
        <is>
          <t>Weighted Score</t>
        </is>
      </c>
      <c r="N3" s="5" t="inlineStr">
        <is>
          <t>Rank per SKU</t>
        </is>
      </c>
    </row>
    <row r="4">
      <c r="A4" s="6" t="inlineStr">
        <is>
          <t>SKU001</t>
        </is>
      </c>
      <c r="B4" s="6" t="inlineStr">
        <is>
          <t>Wireless Mouse</t>
        </is>
      </c>
      <c r="C4" s="6" t="inlineStr">
        <is>
          <t>Supplier A</t>
        </is>
      </c>
      <c r="D4" s="7" t="n">
        <v>635.21</v>
      </c>
      <c r="E4" s="6" t="n">
        <v>3</v>
      </c>
      <c r="F4" s="6" t="n">
        <v>10</v>
      </c>
      <c r="G4" s="9" t="n">
        <v>4.2</v>
      </c>
      <c r="H4" s="8" t="n">
        <v>97.90000000000001</v>
      </c>
      <c r="I4" s="8">
        <f>MIN($D$4:$D$6)/D4*100</f>
        <v/>
      </c>
      <c r="J4" s="8">
        <f>MIN($E$4:$E$6)/E4*100</f>
        <v/>
      </c>
      <c r="K4" s="8">
        <f>MIN($G$4:$G$6)/G4*100</f>
        <v/>
      </c>
      <c r="L4" s="8">
        <f>H4</f>
        <v/>
      </c>
      <c r="M4" s="8">
        <f>I4*40%+J4*25%+K4*20%+L4*15%</f>
        <v/>
      </c>
      <c r="N4" s="6">
        <f>RANK(M4,$M$4:$M$6,0)</f>
        <v/>
      </c>
    </row>
    <row r="5">
      <c r="A5" s="6" t="inlineStr">
        <is>
          <t>SKU001</t>
        </is>
      </c>
      <c r="B5" s="6" t="inlineStr">
        <is>
          <t>Wireless Mouse</t>
        </is>
      </c>
      <c r="C5" s="6" t="inlineStr">
        <is>
          <t>Supplier B</t>
        </is>
      </c>
      <c r="D5" s="7" t="n">
        <v>734.17</v>
      </c>
      <c r="E5" s="6" t="n">
        <v>7</v>
      </c>
      <c r="F5" s="6" t="n">
        <v>20</v>
      </c>
      <c r="G5" s="9" t="n">
        <v>0.54</v>
      </c>
      <c r="H5" s="8" t="n">
        <v>97.90000000000001</v>
      </c>
      <c r="I5" s="8">
        <f>MIN($D$4:$D$6)/D5*100</f>
        <v/>
      </c>
      <c r="J5" s="8">
        <f>MIN($E$4:$E$6)/E5*100</f>
        <v/>
      </c>
      <c r="K5" s="8">
        <f>MIN($G$4:$G$6)/G5*100</f>
        <v/>
      </c>
      <c r="L5" s="8">
        <f>H5</f>
        <v/>
      </c>
      <c r="M5" s="8">
        <f>I5*40%+J5*25%+K5*20%+L5*15%</f>
        <v/>
      </c>
      <c r="N5" s="6">
        <f>RANK(M5,$M$4:$M$6,0)</f>
        <v/>
      </c>
    </row>
    <row r="6">
      <c r="A6" s="6" t="inlineStr">
        <is>
          <t>SKU001</t>
        </is>
      </c>
      <c r="B6" s="6" t="inlineStr">
        <is>
          <t>Wireless Mouse</t>
        </is>
      </c>
      <c r="C6" s="6" t="inlineStr">
        <is>
          <t>Supplier C</t>
        </is>
      </c>
      <c r="D6" s="7" t="n">
        <v>756.66</v>
      </c>
      <c r="E6" s="6" t="n">
        <v>4</v>
      </c>
      <c r="F6" s="6" t="n">
        <v>50</v>
      </c>
      <c r="G6" s="9" t="n">
        <v>3.73</v>
      </c>
      <c r="H6" s="8" t="n">
        <v>99.2</v>
      </c>
      <c r="I6" s="8">
        <f>MIN($D$4:$D$6)/D6*100</f>
        <v/>
      </c>
      <c r="J6" s="8">
        <f>MIN($E$4:$E$6)/E6*100</f>
        <v/>
      </c>
      <c r="K6" s="8">
        <f>MIN($G$4:$G$6)/G6*100</f>
        <v/>
      </c>
      <c r="L6" s="8">
        <f>H6</f>
        <v/>
      </c>
      <c r="M6" s="8">
        <f>I6*40%+J6*25%+K6*20%+L6*15%</f>
        <v/>
      </c>
      <c r="N6" s="6">
        <f>RANK(M6,$M$4:$M$6,0)</f>
        <v/>
      </c>
    </row>
    <row r="7">
      <c r="A7" s="6" t="inlineStr">
        <is>
          <t>SKU002</t>
        </is>
      </c>
      <c r="B7" s="6" t="inlineStr">
        <is>
          <t>USB-C Cable</t>
        </is>
      </c>
      <c r="C7" s="6" t="inlineStr">
        <is>
          <t>Supplier A</t>
        </is>
      </c>
      <c r="D7" s="7" t="n">
        <v>187.17</v>
      </c>
      <c r="E7" s="6" t="n">
        <v>5</v>
      </c>
      <c r="F7" s="6" t="n">
        <v>20</v>
      </c>
      <c r="G7" s="9" t="n">
        <v>3.07</v>
      </c>
      <c r="H7" s="8" t="n">
        <v>98.8</v>
      </c>
      <c r="I7" s="8">
        <f>MIN($D$7:$D$9)/D7*100</f>
        <v/>
      </c>
      <c r="J7" s="8">
        <f>MIN($E$7:$E$9)/E7*100</f>
        <v/>
      </c>
      <c r="K7" s="8">
        <f>MIN($G$7:$G$9)/G7*100</f>
        <v/>
      </c>
      <c r="L7" s="8">
        <f>H7</f>
        <v/>
      </c>
      <c r="M7" s="8">
        <f>I7*40%+J7*25%+K7*20%+L7*15%</f>
        <v/>
      </c>
      <c r="N7" s="6">
        <f>RANK(M7,$M$7:$M$9,0)</f>
        <v/>
      </c>
    </row>
    <row r="8">
      <c r="A8" s="6" t="inlineStr">
        <is>
          <t>SKU002</t>
        </is>
      </c>
      <c r="B8" s="6" t="inlineStr">
        <is>
          <t>USB-C Cable</t>
        </is>
      </c>
      <c r="C8" s="6" t="inlineStr">
        <is>
          <t>Supplier B</t>
        </is>
      </c>
      <c r="D8" s="7" t="n">
        <v>167.32</v>
      </c>
      <c r="E8" s="6" t="n">
        <v>11</v>
      </c>
      <c r="F8" s="6" t="n">
        <v>50</v>
      </c>
      <c r="G8" s="9" t="n">
        <v>4.35</v>
      </c>
      <c r="H8" s="8" t="n">
        <v>98.5</v>
      </c>
      <c r="I8" s="8">
        <f>MIN($D$7:$D$9)/D8*100</f>
        <v/>
      </c>
      <c r="J8" s="8">
        <f>MIN($E$7:$E$9)/E8*100</f>
        <v/>
      </c>
      <c r="K8" s="8">
        <f>MIN($G$7:$G$9)/G8*100</f>
        <v/>
      </c>
      <c r="L8" s="8">
        <f>H8</f>
        <v/>
      </c>
      <c r="M8" s="8">
        <f>I8*40%+J8*25%+K8*20%+L8*15%</f>
        <v/>
      </c>
      <c r="N8" s="6">
        <f>RANK(M8,$M$7:$M$9,0)</f>
        <v/>
      </c>
    </row>
    <row r="9">
      <c r="A9" s="6" t="inlineStr">
        <is>
          <t>SKU002</t>
        </is>
      </c>
      <c r="B9" s="6" t="inlineStr">
        <is>
          <t>USB-C Cable</t>
        </is>
      </c>
      <c r="C9" s="6" t="inlineStr">
        <is>
          <t>Supplier C</t>
        </is>
      </c>
      <c r="D9" s="7" t="n">
        <v>199.18</v>
      </c>
      <c r="E9" s="6" t="n">
        <v>6</v>
      </c>
      <c r="F9" s="6" t="n">
        <v>25</v>
      </c>
      <c r="G9" s="9" t="n">
        <v>1.98</v>
      </c>
      <c r="H9" s="8" t="n">
        <v>95.09999999999999</v>
      </c>
      <c r="I9" s="8">
        <f>MIN($D$7:$D$9)/D9*100</f>
        <v/>
      </c>
      <c r="J9" s="8">
        <f>MIN($E$7:$E$9)/E9*100</f>
        <v/>
      </c>
      <c r="K9" s="8">
        <f>MIN($G$7:$G$9)/G9*100</f>
        <v/>
      </c>
      <c r="L9" s="8">
        <f>H9</f>
        <v/>
      </c>
      <c r="M9" s="8">
        <f>I9*40%+J9*25%+K9*20%+L9*15%</f>
        <v/>
      </c>
      <c r="N9" s="6">
        <f>RANK(M9,$M$7:$M$9,0)</f>
        <v/>
      </c>
    </row>
    <row r="10">
      <c r="A10" s="6" t="inlineStr">
        <is>
          <t>SKU003</t>
        </is>
      </c>
      <c r="B10" s="6" t="inlineStr">
        <is>
          <t>Laptop Stand</t>
        </is>
      </c>
      <c r="C10" s="6" t="inlineStr">
        <is>
          <t>Supplier A</t>
        </is>
      </c>
      <c r="D10" s="7" t="n">
        <v>297.61</v>
      </c>
      <c r="E10" s="6" t="n">
        <v>11</v>
      </c>
      <c r="F10" s="6" t="n">
        <v>50</v>
      </c>
      <c r="G10" s="9" t="n">
        <v>0.8100000000000001</v>
      </c>
      <c r="H10" s="8" t="n">
        <v>89</v>
      </c>
      <c r="I10" s="8">
        <f>MIN($D$10:$D$12)/D10*100</f>
        <v/>
      </c>
      <c r="J10" s="8">
        <f>MIN($E$10:$E$12)/E10*100</f>
        <v/>
      </c>
      <c r="K10" s="8">
        <f>MIN($G$10:$G$12)/G10*100</f>
        <v/>
      </c>
      <c r="L10" s="8">
        <f>H10</f>
        <v/>
      </c>
      <c r="M10" s="8">
        <f>I10*40%+J10*25%+K10*20%+L10*15%</f>
        <v/>
      </c>
      <c r="N10" s="6">
        <f>RANK(M10,$M$10:$M$12,0)</f>
        <v/>
      </c>
    </row>
    <row r="11">
      <c r="A11" s="6" t="inlineStr">
        <is>
          <t>SKU003</t>
        </is>
      </c>
      <c r="B11" s="6" t="inlineStr">
        <is>
          <t>Laptop Stand</t>
        </is>
      </c>
      <c r="C11" s="6" t="inlineStr">
        <is>
          <t>Supplier B</t>
        </is>
      </c>
      <c r="D11" s="7" t="n">
        <v>294.43</v>
      </c>
      <c r="E11" s="6" t="n">
        <v>12</v>
      </c>
      <c r="F11" s="6" t="n">
        <v>20</v>
      </c>
      <c r="G11" s="9" t="n">
        <v>2.77</v>
      </c>
      <c r="H11" s="8" t="n">
        <v>86.09999999999999</v>
      </c>
      <c r="I11" s="8">
        <f>MIN($D$10:$D$12)/D11*100</f>
        <v/>
      </c>
      <c r="J11" s="8">
        <f>MIN($E$10:$E$12)/E11*100</f>
        <v/>
      </c>
      <c r="K11" s="8">
        <f>MIN($G$10:$G$12)/G11*100</f>
        <v/>
      </c>
      <c r="L11" s="8">
        <f>H11</f>
        <v/>
      </c>
      <c r="M11" s="8">
        <f>I11*40%+J11*25%+K11*20%+L11*15%</f>
        <v/>
      </c>
      <c r="N11" s="6">
        <f>RANK(M11,$M$10:$M$12,0)</f>
        <v/>
      </c>
    </row>
    <row r="12">
      <c r="A12" s="6" t="inlineStr">
        <is>
          <t>SKU003</t>
        </is>
      </c>
      <c r="B12" s="6" t="inlineStr">
        <is>
          <t>Laptop Stand</t>
        </is>
      </c>
      <c r="C12" s="6" t="inlineStr">
        <is>
          <t>Supplier C</t>
        </is>
      </c>
      <c r="D12" s="7" t="n">
        <v>327.71</v>
      </c>
      <c r="E12" s="6" t="n">
        <v>3</v>
      </c>
      <c r="F12" s="6" t="n">
        <v>20</v>
      </c>
      <c r="G12" s="9" t="n">
        <v>0.58</v>
      </c>
      <c r="H12" s="8" t="n">
        <v>86.40000000000001</v>
      </c>
      <c r="I12" s="8">
        <f>MIN($D$10:$D$12)/D12*100</f>
        <v/>
      </c>
      <c r="J12" s="8">
        <f>MIN($E$10:$E$12)/E12*100</f>
        <v/>
      </c>
      <c r="K12" s="8">
        <f>MIN($G$10:$G$12)/G12*100</f>
        <v/>
      </c>
      <c r="L12" s="8">
        <f>H12</f>
        <v/>
      </c>
      <c r="M12" s="8">
        <f>I12*40%+J12*25%+K12*20%+L12*15%</f>
        <v/>
      </c>
      <c r="N12" s="6">
        <f>RANK(M12,$M$10:$M$12,0)</f>
        <v/>
      </c>
    </row>
    <row r="13">
      <c r="A13" s="6" t="inlineStr">
        <is>
          <t>SKU004</t>
        </is>
      </c>
      <c r="B13" s="6" t="inlineStr">
        <is>
          <t>Bluetooth Speaker</t>
        </is>
      </c>
      <c r="C13" s="6" t="inlineStr">
        <is>
          <t>Supplier A</t>
        </is>
      </c>
      <c r="D13" s="7" t="n">
        <v>176.24</v>
      </c>
      <c r="E13" s="6" t="n">
        <v>11</v>
      </c>
      <c r="F13" s="6" t="n">
        <v>20</v>
      </c>
      <c r="G13" s="9" t="n">
        <v>1.47</v>
      </c>
      <c r="H13" s="8" t="n">
        <v>92.59999999999999</v>
      </c>
      <c r="I13" s="8">
        <f>MIN($D$13:$D$15)/D13*100</f>
        <v/>
      </c>
      <c r="J13" s="8">
        <f>MIN($E$13:$E$15)/E13*100</f>
        <v/>
      </c>
      <c r="K13" s="8">
        <f>MIN($G$13:$G$15)/G13*100</f>
        <v/>
      </c>
      <c r="L13" s="8">
        <f>H13</f>
        <v/>
      </c>
      <c r="M13" s="8">
        <f>I13*40%+J13*25%+K13*20%+L13*15%</f>
        <v/>
      </c>
      <c r="N13" s="6">
        <f>RANK(M13,$M$13:$M$15,0)</f>
        <v/>
      </c>
    </row>
    <row r="14">
      <c r="A14" s="6" t="inlineStr">
        <is>
          <t>SKU004</t>
        </is>
      </c>
      <c r="B14" s="6" t="inlineStr">
        <is>
          <t>Bluetooth Speaker</t>
        </is>
      </c>
      <c r="C14" s="6" t="inlineStr">
        <is>
          <t>Supplier B</t>
        </is>
      </c>
      <c r="D14" s="7" t="n">
        <v>187.52</v>
      </c>
      <c r="E14" s="6" t="n">
        <v>12</v>
      </c>
      <c r="F14" s="6" t="n">
        <v>50</v>
      </c>
      <c r="G14" s="9" t="n">
        <v>1.32</v>
      </c>
      <c r="H14" s="8" t="n">
        <v>92.40000000000001</v>
      </c>
      <c r="I14" s="8">
        <f>MIN($D$13:$D$15)/D14*100</f>
        <v/>
      </c>
      <c r="J14" s="8">
        <f>MIN($E$13:$E$15)/E14*100</f>
        <v/>
      </c>
      <c r="K14" s="8">
        <f>MIN($G$13:$G$15)/G14*100</f>
        <v/>
      </c>
      <c r="L14" s="8">
        <f>H14</f>
        <v/>
      </c>
      <c r="M14" s="8">
        <f>I14*40%+J14*25%+K14*20%+L14*15%</f>
        <v/>
      </c>
      <c r="N14" s="6">
        <f>RANK(M14,$M$13:$M$15,0)</f>
        <v/>
      </c>
    </row>
    <row r="15">
      <c r="A15" s="6" t="inlineStr">
        <is>
          <t>SKU004</t>
        </is>
      </c>
      <c r="B15" s="6" t="inlineStr">
        <is>
          <t>Bluetooth Speaker</t>
        </is>
      </c>
      <c r="C15" s="6" t="inlineStr">
        <is>
          <t>Supplier C</t>
        </is>
      </c>
      <c r="D15" s="7" t="n">
        <v>180.38</v>
      </c>
      <c r="E15" s="6" t="n">
        <v>4</v>
      </c>
      <c r="F15" s="6" t="n">
        <v>10</v>
      </c>
      <c r="G15" s="9" t="n">
        <v>3.07</v>
      </c>
      <c r="H15" s="8" t="n">
        <v>90.8</v>
      </c>
      <c r="I15" s="8">
        <f>MIN($D$13:$D$15)/D15*100</f>
        <v/>
      </c>
      <c r="J15" s="8">
        <f>MIN($E$13:$E$15)/E15*100</f>
        <v/>
      </c>
      <c r="K15" s="8">
        <f>MIN($G$13:$G$15)/G15*100</f>
        <v/>
      </c>
      <c r="L15" s="8">
        <f>H15</f>
        <v/>
      </c>
      <c r="M15" s="8">
        <f>I15*40%+J15*25%+K15*20%+L15*15%</f>
        <v/>
      </c>
      <c r="N15" s="6">
        <f>RANK(M15,$M$13:$M$15,0)</f>
        <v/>
      </c>
    </row>
    <row r="16">
      <c r="A16" s="6" t="inlineStr">
        <is>
          <t>SKU005</t>
        </is>
      </c>
      <c r="B16" s="6" t="inlineStr">
        <is>
          <t>Power Bank</t>
        </is>
      </c>
      <c r="C16" s="6" t="inlineStr">
        <is>
          <t>Supplier A</t>
        </is>
      </c>
      <c r="D16" s="7" t="n">
        <v>802.66</v>
      </c>
      <c r="E16" s="6" t="n">
        <v>3</v>
      </c>
      <c r="F16" s="6" t="n">
        <v>10</v>
      </c>
      <c r="G16" s="9" t="n">
        <v>0.55</v>
      </c>
      <c r="H16" s="8" t="n">
        <v>95.8</v>
      </c>
      <c r="I16" s="8">
        <f>MIN($D$16:$D$18)/D16*100</f>
        <v/>
      </c>
      <c r="J16" s="8">
        <f>MIN($E$16:$E$18)/E16*100</f>
        <v/>
      </c>
      <c r="K16" s="8">
        <f>MIN($G$16:$G$18)/G16*100</f>
        <v/>
      </c>
      <c r="L16" s="8">
        <f>H16</f>
        <v/>
      </c>
      <c r="M16" s="8">
        <f>I16*40%+J16*25%+K16*20%+L16*15%</f>
        <v/>
      </c>
      <c r="N16" s="6">
        <f>RANK(M16,$M$16:$M$18,0)</f>
        <v/>
      </c>
    </row>
    <row r="17">
      <c r="A17" s="6" t="inlineStr">
        <is>
          <t>SKU005</t>
        </is>
      </c>
      <c r="B17" s="6" t="inlineStr">
        <is>
          <t>Power Bank</t>
        </is>
      </c>
      <c r="C17" s="6" t="inlineStr">
        <is>
          <t>Supplier B</t>
        </is>
      </c>
      <c r="D17" s="7" t="n">
        <v>896.14</v>
      </c>
      <c r="E17" s="6" t="n">
        <v>4</v>
      </c>
      <c r="F17" s="6" t="n">
        <v>20</v>
      </c>
      <c r="G17" s="9" t="n">
        <v>1.1</v>
      </c>
      <c r="H17" s="8" t="n">
        <v>93.2</v>
      </c>
      <c r="I17" s="8">
        <f>MIN($D$16:$D$18)/D17*100</f>
        <v/>
      </c>
      <c r="J17" s="8">
        <f>MIN($E$16:$E$18)/E17*100</f>
        <v/>
      </c>
      <c r="K17" s="8">
        <f>MIN($G$16:$G$18)/G17*100</f>
        <v/>
      </c>
      <c r="L17" s="8">
        <f>H17</f>
        <v/>
      </c>
      <c r="M17" s="8">
        <f>I17*40%+J17*25%+K17*20%+L17*15%</f>
        <v/>
      </c>
      <c r="N17" s="6">
        <f>RANK(M17,$M$16:$M$18,0)</f>
        <v/>
      </c>
    </row>
    <row r="18">
      <c r="A18" s="6" t="inlineStr">
        <is>
          <t>SKU005</t>
        </is>
      </c>
      <c r="B18" s="6" t="inlineStr">
        <is>
          <t>Power Bank</t>
        </is>
      </c>
      <c r="C18" s="6" t="inlineStr">
        <is>
          <t>Supplier C</t>
        </is>
      </c>
      <c r="D18" s="7" t="n">
        <v>737.64</v>
      </c>
      <c r="E18" s="6" t="n">
        <v>5</v>
      </c>
      <c r="F18" s="6" t="n">
        <v>25</v>
      </c>
      <c r="G18" s="9" t="n">
        <v>2.24</v>
      </c>
      <c r="H18" s="8" t="n">
        <v>97.8</v>
      </c>
      <c r="I18" s="8">
        <f>MIN($D$16:$D$18)/D18*100</f>
        <v/>
      </c>
      <c r="J18" s="8">
        <f>MIN($E$16:$E$18)/E18*100</f>
        <v/>
      </c>
      <c r="K18" s="8">
        <f>MIN($G$16:$G$18)/G18*100</f>
        <v/>
      </c>
      <c r="L18" s="8">
        <f>H18</f>
        <v/>
      </c>
      <c r="M18" s="8">
        <f>I18*40%+J18*25%+K18*20%+L18*15%</f>
        <v/>
      </c>
      <c r="N18" s="6">
        <f>RANK(M18,$M$16:$M$18,0)</f>
        <v/>
      </c>
    </row>
    <row r="19">
      <c r="A19" s="6" t="inlineStr">
        <is>
          <t>SKU006</t>
        </is>
      </c>
      <c r="B19" s="6" t="inlineStr">
        <is>
          <t>Desk Lamp</t>
        </is>
      </c>
      <c r="C19" s="6" t="inlineStr">
        <is>
          <t>Supplier A</t>
        </is>
      </c>
      <c r="D19" s="7" t="n">
        <v>198.58</v>
      </c>
      <c r="E19" s="6" t="n">
        <v>11</v>
      </c>
      <c r="F19" s="6" t="n">
        <v>10</v>
      </c>
      <c r="G19" s="9" t="n">
        <v>0.51</v>
      </c>
      <c r="H19" s="8" t="n">
        <v>99.5</v>
      </c>
      <c r="I19" s="8">
        <f>MIN($D$19:$D$21)/D19*100</f>
        <v/>
      </c>
      <c r="J19" s="8">
        <f>MIN($E$19:$E$21)/E19*100</f>
        <v/>
      </c>
      <c r="K19" s="8">
        <f>MIN($G$19:$G$21)/G19*100</f>
        <v/>
      </c>
      <c r="L19" s="8">
        <f>H19</f>
        <v/>
      </c>
      <c r="M19" s="8">
        <f>I19*40%+J19*25%+K19*20%+L19*15%</f>
        <v/>
      </c>
      <c r="N19" s="6">
        <f>RANK(M19,$M$19:$M$21,0)</f>
        <v/>
      </c>
    </row>
    <row r="20">
      <c r="A20" s="6" t="inlineStr">
        <is>
          <t>SKU006</t>
        </is>
      </c>
      <c r="B20" s="6" t="inlineStr">
        <is>
          <t>Desk Lamp</t>
        </is>
      </c>
      <c r="C20" s="6" t="inlineStr">
        <is>
          <t>Supplier B</t>
        </is>
      </c>
      <c r="D20" s="7" t="n">
        <v>248.78</v>
      </c>
      <c r="E20" s="6" t="n">
        <v>4</v>
      </c>
      <c r="F20" s="6" t="n">
        <v>20</v>
      </c>
      <c r="G20" s="9" t="n">
        <v>1</v>
      </c>
      <c r="H20" s="8" t="n">
        <v>92.59999999999999</v>
      </c>
      <c r="I20" s="8">
        <f>MIN($D$19:$D$21)/D20*100</f>
        <v/>
      </c>
      <c r="J20" s="8">
        <f>MIN($E$19:$E$21)/E20*100</f>
        <v/>
      </c>
      <c r="K20" s="8">
        <f>MIN($G$19:$G$21)/G20*100</f>
        <v/>
      </c>
      <c r="L20" s="8">
        <f>H20</f>
        <v/>
      </c>
      <c r="M20" s="8">
        <f>I20*40%+J20*25%+K20*20%+L20*15%</f>
        <v/>
      </c>
      <c r="N20" s="6">
        <f>RANK(M20,$M$19:$M$21,0)</f>
        <v/>
      </c>
    </row>
    <row r="21">
      <c r="A21" s="6" t="inlineStr">
        <is>
          <t>SKU006</t>
        </is>
      </c>
      <c r="B21" s="6" t="inlineStr">
        <is>
          <t>Desk Lamp</t>
        </is>
      </c>
      <c r="C21" s="6" t="inlineStr">
        <is>
          <t>Supplier C</t>
        </is>
      </c>
      <c r="D21" s="7" t="n">
        <v>207.71</v>
      </c>
      <c r="E21" s="6" t="n">
        <v>9</v>
      </c>
      <c r="F21" s="6" t="n">
        <v>10</v>
      </c>
      <c r="G21" s="9" t="n">
        <v>0.99</v>
      </c>
      <c r="H21" s="8" t="n">
        <v>86</v>
      </c>
      <c r="I21" s="8">
        <f>MIN($D$19:$D$21)/D21*100</f>
        <v/>
      </c>
      <c r="J21" s="8">
        <f>MIN($E$19:$E$21)/E21*100</f>
        <v/>
      </c>
      <c r="K21" s="8">
        <f>MIN($G$19:$G$21)/G21*100</f>
        <v/>
      </c>
      <c r="L21" s="8">
        <f>H21</f>
        <v/>
      </c>
      <c r="M21" s="8">
        <f>I21*40%+J21*25%+K21*20%+L21*15%</f>
        <v/>
      </c>
      <c r="N21" s="6">
        <f>RANK(M21,$M$19:$M$21,0)</f>
        <v/>
      </c>
    </row>
    <row r="22">
      <c r="A22" s="6" t="inlineStr">
        <is>
          <t>SKU007</t>
        </is>
      </c>
      <c r="B22" s="6" t="inlineStr">
        <is>
          <t>Storage Box</t>
        </is>
      </c>
      <c r="C22" s="6" t="inlineStr">
        <is>
          <t>Supplier A</t>
        </is>
      </c>
      <c r="D22" s="7" t="n">
        <v>219.37</v>
      </c>
      <c r="E22" s="6" t="n">
        <v>10</v>
      </c>
      <c r="F22" s="6" t="n">
        <v>25</v>
      </c>
      <c r="G22" s="9" t="n">
        <v>2.08</v>
      </c>
      <c r="H22" s="8" t="n">
        <v>98.90000000000001</v>
      </c>
      <c r="I22" s="8">
        <f>MIN($D$22:$D$24)/D22*100</f>
        <v/>
      </c>
      <c r="J22" s="8">
        <f>MIN($E$22:$E$24)/E22*100</f>
        <v/>
      </c>
      <c r="K22" s="8">
        <f>MIN($G$22:$G$24)/G22*100</f>
        <v/>
      </c>
      <c r="L22" s="8">
        <f>H22</f>
        <v/>
      </c>
      <c r="M22" s="8">
        <f>I22*40%+J22*25%+K22*20%+L22*15%</f>
        <v/>
      </c>
      <c r="N22" s="6">
        <f>RANK(M22,$M$22:$M$24,0)</f>
        <v/>
      </c>
    </row>
    <row r="23">
      <c r="A23" s="6" t="inlineStr">
        <is>
          <t>SKU007</t>
        </is>
      </c>
      <c r="B23" s="6" t="inlineStr">
        <is>
          <t>Storage Box</t>
        </is>
      </c>
      <c r="C23" s="6" t="inlineStr">
        <is>
          <t>Supplier B</t>
        </is>
      </c>
      <c r="D23" s="7" t="n">
        <v>259.3</v>
      </c>
      <c r="E23" s="6" t="n">
        <v>11</v>
      </c>
      <c r="F23" s="6" t="n">
        <v>50</v>
      </c>
      <c r="G23" s="9" t="n">
        <v>0.95</v>
      </c>
      <c r="H23" s="8" t="n">
        <v>90</v>
      </c>
      <c r="I23" s="8">
        <f>MIN($D$22:$D$24)/D23*100</f>
        <v/>
      </c>
      <c r="J23" s="8">
        <f>MIN($E$22:$E$24)/E23*100</f>
        <v/>
      </c>
      <c r="K23" s="8">
        <f>MIN($G$22:$G$24)/G23*100</f>
        <v/>
      </c>
      <c r="L23" s="8">
        <f>H23</f>
        <v/>
      </c>
      <c r="M23" s="8">
        <f>I23*40%+J23*25%+K23*20%+L23*15%</f>
        <v/>
      </c>
      <c r="N23" s="6">
        <f>RANK(M23,$M$22:$M$24,0)</f>
        <v/>
      </c>
    </row>
    <row r="24">
      <c r="A24" s="6" t="inlineStr">
        <is>
          <t>SKU007</t>
        </is>
      </c>
      <c r="B24" s="6" t="inlineStr">
        <is>
          <t>Storage Box</t>
        </is>
      </c>
      <c r="C24" s="6" t="inlineStr">
        <is>
          <t>Supplier C</t>
        </is>
      </c>
      <c r="D24" s="7" t="n">
        <v>257.53</v>
      </c>
      <c r="E24" s="6" t="n">
        <v>12</v>
      </c>
      <c r="F24" s="6" t="n">
        <v>10</v>
      </c>
      <c r="G24" s="9" t="n">
        <v>3.44</v>
      </c>
      <c r="H24" s="8" t="n">
        <v>86.8</v>
      </c>
      <c r="I24" s="8">
        <f>MIN($D$22:$D$24)/D24*100</f>
        <v/>
      </c>
      <c r="J24" s="8">
        <f>MIN($E$22:$E$24)/E24*100</f>
        <v/>
      </c>
      <c r="K24" s="8">
        <f>MIN($G$22:$G$24)/G24*100</f>
        <v/>
      </c>
      <c r="L24" s="8">
        <f>H24</f>
        <v/>
      </c>
      <c r="M24" s="8">
        <f>I24*40%+J24*25%+K24*20%+L24*15%</f>
        <v/>
      </c>
      <c r="N24" s="6">
        <f>RANK(M24,$M$22:$M$24,0)</f>
        <v/>
      </c>
    </row>
    <row r="25">
      <c r="A25" s="6" t="inlineStr">
        <is>
          <t>SKU008</t>
        </is>
      </c>
      <c r="B25" s="6" t="inlineStr">
        <is>
          <t>Water Bottle</t>
        </is>
      </c>
      <c r="C25" s="6" t="inlineStr">
        <is>
          <t>Supplier A</t>
        </is>
      </c>
      <c r="D25" s="7" t="n">
        <v>126.63</v>
      </c>
      <c r="E25" s="6" t="n">
        <v>11</v>
      </c>
      <c r="F25" s="6" t="n">
        <v>20</v>
      </c>
      <c r="G25" s="9" t="n">
        <v>0.54</v>
      </c>
      <c r="H25" s="8" t="n">
        <v>92.90000000000001</v>
      </c>
      <c r="I25" s="8">
        <f>MIN($D$25:$D$27)/D25*100</f>
        <v/>
      </c>
      <c r="J25" s="8">
        <f>MIN($E$25:$E$27)/E25*100</f>
        <v/>
      </c>
      <c r="K25" s="8">
        <f>MIN($G$25:$G$27)/G25*100</f>
        <v/>
      </c>
      <c r="L25" s="8">
        <f>H25</f>
        <v/>
      </c>
      <c r="M25" s="8">
        <f>I25*40%+J25*25%+K25*20%+L25*15%</f>
        <v/>
      </c>
      <c r="N25" s="6">
        <f>RANK(M25,$M$25:$M$27,0)</f>
        <v/>
      </c>
    </row>
    <row r="26">
      <c r="A26" s="6" t="inlineStr">
        <is>
          <t>SKU008</t>
        </is>
      </c>
      <c r="B26" s="6" t="inlineStr">
        <is>
          <t>Water Bottle</t>
        </is>
      </c>
      <c r="C26" s="6" t="inlineStr">
        <is>
          <t>Supplier B</t>
        </is>
      </c>
      <c r="D26" s="7" t="n">
        <v>136.25</v>
      </c>
      <c r="E26" s="6" t="n">
        <v>4</v>
      </c>
      <c r="F26" s="6" t="n">
        <v>10</v>
      </c>
      <c r="G26" s="9" t="n">
        <v>3.14</v>
      </c>
      <c r="H26" s="8" t="n">
        <v>89.2</v>
      </c>
      <c r="I26" s="8">
        <f>MIN($D$25:$D$27)/D26*100</f>
        <v/>
      </c>
      <c r="J26" s="8">
        <f>MIN($E$25:$E$27)/E26*100</f>
        <v/>
      </c>
      <c r="K26" s="8">
        <f>MIN($G$25:$G$27)/G26*100</f>
        <v/>
      </c>
      <c r="L26" s="8">
        <f>H26</f>
        <v/>
      </c>
      <c r="M26" s="8">
        <f>I26*40%+J26*25%+K26*20%+L26*15%</f>
        <v/>
      </c>
      <c r="N26" s="6">
        <f>RANK(M26,$M$25:$M$27,0)</f>
        <v/>
      </c>
    </row>
    <row r="27">
      <c r="A27" s="6" t="inlineStr">
        <is>
          <t>SKU008</t>
        </is>
      </c>
      <c r="B27" s="6" t="inlineStr">
        <is>
          <t>Water Bottle</t>
        </is>
      </c>
      <c r="C27" s="6" t="inlineStr">
        <is>
          <t>Supplier C</t>
        </is>
      </c>
      <c r="D27" s="7" t="n">
        <v>109.92</v>
      </c>
      <c r="E27" s="6" t="n">
        <v>12</v>
      </c>
      <c r="F27" s="6" t="n">
        <v>20</v>
      </c>
      <c r="G27" s="9" t="n">
        <v>2.73</v>
      </c>
      <c r="H27" s="8" t="n">
        <v>86.5</v>
      </c>
      <c r="I27" s="8">
        <f>MIN($D$25:$D$27)/D27*100</f>
        <v/>
      </c>
      <c r="J27" s="8">
        <f>MIN($E$25:$E$27)/E27*100</f>
        <v/>
      </c>
      <c r="K27" s="8">
        <f>MIN($G$25:$G$27)/G27*100</f>
        <v/>
      </c>
      <c r="L27" s="8">
        <f>H27</f>
        <v/>
      </c>
      <c r="M27" s="8">
        <f>I27*40%+J27*25%+K27*20%+L27*15%</f>
        <v/>
      </c>
      <c r="N27" s="6">
        <f>RANK(M27,$M$25:$M$27,0)</f>
        <v/>
      </c>
    </row>
    <row r="28">
      <c r="A28" s="6" t="inlineStr">
        <is>
          <t>SKU009</t>
        </is>
      </c>
      <c r="B28" s="6" t="inlineStr">
        <is>
          <t>Travel Mug</t>
        </is>
      </c>
      <c r="C28" s="6" t="inlineStr">
        <is>
          <t>Supplier A</t>
        </is>
      </c>
      <c r="D28" s="7" t="n">
        <v>452.3</v>
      </c>
      <c r="E28" s="6" t="n">
        <v>13</v>
      </c>
      <c r="F28" s="6" t="n">
        <v>25</v>
      </c>
      <c r="G28" s="9" t="n">
        <v>4.23</v>
      </c>
      <c r="H28" s="8" t="n">
        <v>88.8</v>
      </c>
      <c r="I28" s="8">
        <f>MIN($D$28:$D$30)/D28*100</f>
        <v/>
      </c>
      <c r="J28" s="8">
        <f>MIN($E$28:$E$30)/E28*100</f>
        <v/>
      </c>
      <c r="K28" s="8">
        <f>MIN($G$28:$G$30)/G28*100</f>
        <v/>
      </c>
      <c r="L28" s="8">
        <f>H28</f>
        <v/>
      </c>
      <c r="M28" s="8">
        <f>I28*40%+J28*25%+K28*20%+L28*15%</f>
        <v/>
      </c>
      <c r="N28" s="6">
        <f>RANK(M28,$M$28:$M$30,0)</f>
        <v/>
      </c>
    </row>
    <row r="29">
      <c r="A29" s="6" t="inlineStr">
        <is>
          <t>SKU009</t>
        </is>
      </c>
      <c r="B29" s="6" t="inlineStr">
        <is>
          <t>Travel Mug</t>
        </is>
      </c>
      <c r="C29" s="6" t="inlineStr">
        <is>
          <t>Supplier B</t>
        </is>
      </c>
      <c r="D29" s="7" t="n">
        <v>547.4299999999999</v>
      </c>
      <c r="E29" s="6" t="n">
        <v>6</v>
      </c>
      <c r="F29" s="6" t="n">
        <v>25</v>
      </c>
      <c r="G29" s="9" t="n">
        <v>1.96</v>
      </c>
      <c r="H29" s="8" t="n">
        <v>95.09999999999999</v>
      </c>
      <c r="I29" s="8">
        <f>MIN($D$28:$D$30)/D29*100</f>
        <v/>
      </c>
      <c r="J29" s="8">
        <f>MIN($E$28:$E$30)/E29*100</f>
        <v/>
      </c>
      <c r="K29" s="8">
        <f>MIN($G$28:$G$30)/G29*100</f>
        <v/>
      </c>
      <c r="L29" s="8">
        <f>H29</f>
        <v/>
      </c>
      <c r="M29" s="8">
        <f>I29*40%+J29*25%+K29*20%+L29*15%</f>
        <v/>
      </c>
      <c r="N29" s="6">
        <f>RANK(M29,$M$28:$M$30,0)</f>
        <v/>
      </c>
    </row>
    <row r="30">
      <c r="A30" s="6" t="inlineStr">
        <is>
          <t>SKU009</t>
        </is>
      </c>
      <c r="B30" s="6" t="inlineStr">
        <is>
          <t>Travel Mug</t>
        </is>
      </c>
      <c r="C30" s="6" t="inlineStr">
        <is>
          <t>Supplier C</t>
        </is>
      </c>
      <c r="D30" s="7" t="n">
        <v>485</v>
      </c>
      <c r="E30" s="6" t="n">
        <v>8</v>
      </c>
      <c r="F30" s="6" t="n">
        <v>10</v>
      </c>
      <c r="G30" s="9" t="n">
        <v>0.34</v>
      </c>
      <c r="H30" s="8" t="n">
        <v>94.40000000000001</v>
      </c>
      <c r="I30" s="8">
        <f>MIN($D$28:$D$30)/D30*100</f>
        <v/>
      </c>
      <c r="J30" s="8">
        <f>MIN($E$28:$E$30)/E30*100</f>
        <v/>
      </c>
      <c r="K30" s="8">
        <f>MIN($G$28:$G$30)/G30*100</f>
        <v/>
      </c>
      <c r="L30" s="8">
        <f>H30</f>
        <v/>
      </c>
      <c r="M30" s="8">
        <f>I30*40%+J30*25%+K30*20%+L30*15%</f>
        <v/>
      </c>
      <c r="N30" s="6">
        <f>RANK(M30,$M$28:$M$30,0)</f>
        <v/>
      </c>
    </row>
    <row r="31">
      <c r="A31" s="6" t="inlineStr">
        <is>
          <t>SKU010</t>
        </is>
      </c>
      <c r="B31" s="6" t="inlineStr">
        <is>
          <t>Notebook Set</t>
        </is>
      </c>
      <c r="C31" s="6" t="inlineStr">
        <is>
          <t>Supplier A</t>
        </is>
      </c>
      <c r="D31" s="7" t="n">
        <v>1573.35</v>
      </c>
      <c r="E31" s="6" t="n">
        <v>4</v>
      </c>
      <c r="F31" s="6" t="n">
        <v>10</v>
      </c>
      <c r="G31" s="9" t="n">
        <v>2.56</v>
      </c>
      <c r="H31" s="8" t="n">
        <v>92.8</v>
      </c>
      <c r="I31" s="8">
        <f>MIN($D$31:$D$33)/D31*100</f>
        <v/>
      </c>
      <c r="J31" s="8">
        <f>MIN($E$31:$E$33)/E31*100</f>
        <v/>
      </c>
      <c r="K31" s="8">
        <f>MIN($G$31:$G$33)/G31*100</f>
        <v/>
      </c>
      <c r="L31" s="8">
        <f>H31</f>
        <v/>
      </c>
      <c r="M31" s="8">
        <f>I31*40%+J31*25%+K31*20%+L31*15%</f>
        <v/>
      </c>
      <c r="N31" s="6">
        <f>RANK(M31,$M$31:$M$33,0)</f>
        <v/>
      </c>
    </row>
    <row r="32">
      <c r="A32" s="6" t="inlineStr">
        <is>
          <t>SKU010</t>
        </is>
      </c>
      <c r="B32" s="6" t="inlineStr">
        <is>
          <t>Notebook Set</t>
        </is>
      </c>
      <c r="C32" s="6" t="inlineStr">
        <is>
          <t>Supplier B</t>
        </is>
      </c>
      <c r="D32" s="7" t="n">
        <v>1379.61</v>
      </c>
      <c r="E32" s="6" t="n">
        <v>8</v>
      </c>
      <c r="F32" s="6" t="n">
        <v>10</v>
      </c>
      <c r="G32" s="9" t="n">
        <v>3.99</v>
      </c>
      <c r="H32" s="8" t="n">
        <v>91</v>
      </c>
      <c r="I32" s="8">
        <f>MIN($D$31:$D$33)/D32*100</f>
        <v/>
      </c>
      <c r="J32" s="8">
        <f>MIN($E$31:$E$33)/E32*100</f>
        <v/>
      </c>
      <c r="K32" s="8">
        <f>MIN($G$31:$G$33)/G32*100</f>
        <v/>
      </c>
      <c r="L32" s="8">
        <f>H32</f>
        <v/>
      </c>
      <c r="M32" s="8">
        <f>I32*40%+J32*25%+K32*20%+L32*15%</f>
        <v/>
      </c>
      <c r="N32" s="6">
        <f>RANK(M32,$M$31:$M$33,0)</f>
        <v/>
      </c>
    </row>
    <row r="33">
      <c r="A33" s="6" t="inlineStr">
        <is>
          <t>SKU010</t>
        </is>
      </c>
      <c r="B33" s="6" t="inlineStr">
        <is>
          <t>Notebook Set</t>
        </is>
      </c>
      <c r="C33" s="6" t="inlineStr">
        <is>
          <t>Supplier C</t>
        </is>
      </c>
      <c r="D33" s="7" t="n">
        <v>1390.99</v>
      </c>
      <c r="E33" s="6" t="n">
        <v>11</v>
      </c>
      <c r="F33" s="6" t="n">
        <v>25</v>
      </c>
      <c r="G33" s="9" t="n">
        <v>2.87</v>
      </c>
      <c r="H33" s="8" t="n">
        <v>99.3</v>
      </c>
      <c r="I33" s="8">
        <f>MIN($D$31:$D$33)/D33*100</f>
        <v/>
      </c>
      <c r="J33" s="8">
        <f>MIN($E$31:$E$33)/E33*100</f>
        <v/>
      </c>
      <c r="K33" s="8">
        <f>MIN($G$31:$G$33)/G33*100</f>
        <v/>
      </c>
      <c r="L33" s="8">
        <f>H33</f>
        <v/>
      </c>
      <c r="M33" s="8">
        <f>I33*40%+J33*25%+K33*20%+L33*15%</f>
        <v/>
      </c>
      <c r="N33" s="6">
        <f>RANK(M33,$M$31:$M$33,0)</f>
        <v/>
      </c>
    </row>
    <row r="34">
      <c r="A34" s="6" t="inlineStr">
        <is>
          <t>SKU011</t>
        </is>
      </c>
      <c r="B34" s="6" t="inlineStr">
        <is>
          <t>Ballpoint Pens</t>
        </is>
      </c>
      <c r="C34" s="6" t="inlineStr">
        <is>
          <t>Supplier A</t>
        </is>
      </c>
      <c r="D34" s="7" t="n">
        <v>538.1</v>
      </c>
      <c r="E34" s="6" t="n">
        <v>3</v>
      </c>
      <c r="F34" s="6" t="n">
        <v>25</v>
      </c>
      <c r="G34" s="9" t="n">
        <v>4.21</v>
      </c>
      <c r="H34" s="8" t="n">
        <v>87.40000000000001</v>
      </c>
      <c r="I34" s="8">
        <f>MIN($D$34:$D$36)/D34*100</f>
        <v/>
      </c>
      <c r="J34" s="8">
        <f>MIN($E$34:$E$36)/E34*100</f>
        <v/>
      </c>
      <c r="K34" s="8">
        <f>MIN($G$34:$G$36)/G34*100</f>
        <v/>
      </c>
      <c r="L34" s="8">
        <f>H34</f>
        <v/>
      </c>
      <c r="M34" s="8">
        <f>I34*40%+J34*25%+K34*20%+L34*15%</f>
        <v/>
      </c>
      <c r="N34" s="6">
        <f>RANK(M34,$M$34:$M$36,0)</f>
        <v/>
      </c>
    </row>
    <row r="35">
      <c r="A35" s="6" t="inlineStr">
        <is>
          <t>SKU011</t>
        </is>
      </c>
      <c r="B35" s="6" t="inlineStr">
        <is>
          <t>Ballpoint Pens</t>
        </is>
      </c>
      <c r="C35" s="6" t="inlineStr">
        <is>
          <t>Supplier B</t>
        </is>
      </c>
      <c r="D35" s="7" t="n">
        <v>571.72</v>
      </c>
      <c r="E35" s="6" t="n">
        <v>7</v>
      </c>
      <c r="F35" s="6" t="n">
        <v>10</v>
      </c>
      <c r="G35" s="9" t="n">
        <v>4.04</v>
      </c>
      <c r="H35" s="8" t="n">
        <v>96</v>
      </c>
      <c r="I35" s="8">
        <f>MIN($D$34:$D$36)/D35*100</f>
        <v/>
      </c>
      <c r="J35" s="8">
        <f>MIN($E$34:$E$36)/E35*100</f>
        <v/>
      </c>
      <c r="K35" s="8">
        <f>MIN($G$34:$G$36)/G35*100</f>
        <v/>
      </c>
      <c r="L35" s="8">
        <f>H35</f>
        <v/>
      </c>
      <c r="M35" s="8">
        <f>I35*40%+J35*25%+K35*20%+L35*15%</f>
        <v/>
      </c>
      <c r="N35" s="6">
        <f>RANK(M35,$M$34:$M$36,0)</f>
        <v/>
      </c>
    </row>
    <row r="36">
      <c r="A36" s="6" t="inlineStr">
        <is>
          <t>SKU011</t>
        </is>
      </c>
      <c r="B36" s="6" t="inlineStr">
        <is>
          <t>Ballpoint Pens</t>
        </is>
      </c>
      <c r="C36" s="6" t="inlineStr">
        <is>
          <t>Supplier C</t>
        </is>
      </c>
      <c r="D36" s="7" t="n">
        <v>463.32</v>
      </c>
      <c r="E36" s="6" t="n">
        <v>7</v>
      </c>
      <c r="F36" s="6" t="n">
        <v>20</v>
      </c>
      <c r="G36" s="9" t="n">
        <v>3.31</v>
      </c>
      <c r="H36" s="8" t="n">
        <v>88.7</v>
      </c>
      <c r="I36" s="8">
        <f>MIN($D$34:$D$36)/D36*100</f>
        <v/>
      </c>
      <c r="J36" s="8">
        <f>MIN($E$34:$E$36)/E36*100</f>
        <v/>
      </c>
      <c r="K36" s="8">
        <f>MIN($G$34:$G$36)/G36*100</f>
        <v/>
      </c>
      <c r="L36" s="8">
        <f>H36</f>
        <v/>
      </c>
      <c r="M36" s="8">
        <f>I36*40%+J36*25%+K36*20%+L36*15%</f>
        <v/>
      </c>
      <c r="N36" s="6">
        <f>RANK(M36,$M$34:$M$36,0)</f>
        <v/>
      </c>
    </row>
    <row r="37">
      <c r="A37" s="6" t="inlineStr">
        <is>
          <t>SKU012</t>
        </is>
      </c>
      <c r="B37" s="6" t="inlineStr">
        <is>
          <t>Backpack</t>
        </is>
      </c>
      <c r="C37" s="6" t="inlineStr">
        <is>
          <t>Supplier A</t>
        </is>
      </c>
      <c r="D37" s="7" t="n">
        <v>128.43</v>
      </c>
      <c r="E37" s="6" t="n">
        <v>7</v>
      </c>
      <c r="F37" s="6" t="n">
        <v>50</v>
      </c>
      <c r="G37" s="9" t="n">
        <v>1.35</v>
      </c>
      <c r="H37" s="8" t="n">
        <v>98.3</v>
      </c>
      <c r="I37" s="8">
        <f>MIN($D$37:$D$39)/D37*100</f>
        <v/>
      </c>
      <c r="J37" s="8">
        <f>MIN($E$37:$E$39)/E37*100</f>
        <v/>
      </c>
      <c r="K37" s="8">
        <f>MIN($G$37:$G$39)/G37*100</f>
        <v/>
      </c>
      <c r="L37" s="8">
        <f>H37</f>
        <v/>
      </c>
      <c r="M37" s="8">
        <f>I37*40%+J37*25%+K37*20%+L37*15%</f>
        <v/>
      </c>
      <c r="N37" s="6">
        <f>RANK(M37,$M$37:$M$39,0)</f>
        <v/>
      </c>
    </row>
    <row r="38">
      <c r="A38" s="6" t="inlineStr">
        <is>
          <t>SKU012</t>
        </is>
      </c>
      <c r="B38" s="6" t="inlineStr">
        <is>
          <t>Backpack</t>
        </is>
      </c>
      <c r="C38" s="6" t="inlineStr">
        <is>
          <t>Supplier B</t>
        </is>
      </c>
      <c r="D38" s="7" t="n">
        <v>107.43</v>
      </c>
      <c r="E38" s="6" t="n">
        <v>13</v>
      </c>
      <c r="F38" s="6" t="n">
        <v>50</v>
      </c>
      <c r="G38" s="9" t="n">
        <v>3.78</v>
      </c>
      <c r="H38" s="8" t="n">
        <v>86.59999999999999</v>
      </c>
      <c r="I38" s="8">
        <f>MIN($D$37:$D$39)/D38*100</f>
        <v/>
      </c>
      <c r="J38" s="8">
        <f>MIN($E$37:$E$39)/E38*100</f>
        <v/>
      </c>
      <c r="K38" s="8">
        <f>MIN($G$37:$G$39)/G38*100</f>
        <v/>
      </c>
      <c r="L38" s="8">
        <f>H38</f>
        <v/>
      </c>
      <c r="M38" s="8">
        <f>I38*40%+J38*25%+K38*20%+L38*15%</f>
        <v/>
      </c>
      <c r="N38" s="6">
        <f>RANK(M38,$M$37:$M$39,0)</f>
        <v/>
      </c>
    </row>
    <row r="39">
      <c r="A39" s="6" t="inlineStr">
        <is>
          <t>SKU012</t>
        </is>
      </c>
      <c r="B39" s="6" t="inlineStr">
        <is>
          <t>Backpack</t>
        </is>
      </c>
      <c r="C39" s="6" t="inlineStr">
        <is>
          <t>Supplier C</t>
        </is>
      </c>
      <c r="D39" s="7" t="n">
        <v>117.61</v>
      </c>
      <c r="E39" s="6" t="n">
        <v>5</v>
      </c>
      <c r="F39" s="6" t="n">
        <v>25</v>
      </c>
      <c r="G39" s="9" t="n">
        <v>0.98</v>
      </c>
      <c r="H39" s="8" t="n">
        <v>92</v>
      </c>
      <c r="I39" s="8">
        <f>MIN($D$37:$D$39)/D39*100</f>
        <v/>
      </c>
      <c r="J39" s="8">
        <f>MIN($E$37:$E$39)/E39*100</f>
        <v/>
      </c>
      <c r="K39" s="8">
        <f>MIN($G$37:$G$39)/G39*100</f>
        <v/>
      </c>
      <c r="L39" s="8">
        <f>H39</f>
        <v/>
      </c>
      <c r="M39" s="8">
        <f>I39*40%+J39*25%+K39*20%+L39*15%</f>
        <v/>
      </c>
      <c r="N39" s="6">
        <f>RANK(M39,$M$37:$M$39,0)</f>
        <v/>
      </c>
    </row>
    <row r="40">
      <c r="A40" s="6" t="inlineStr">
        <is>
          <t>SKU013</t>
        </is>
      </c>
      <c r="B40" s="6" t="inlineStr">
        <is>
          <t>Phone Case</t>
        </is>
      </c>
      <c r="C40" s="6" t="inlineStr">
        <is>
          <t>Supplier A</t>
        </is>
      </c>
      <c r="D40" s="7" t="n">
        <v>1310.04</v>
      </c>
      <c r="E40" s="6" t="n">
        <v>11</v>
      </c>
      <c r="F40" s="6" t="n">
        <v>10</v>
      </c>
      <c r="G40" s="9" t="n">
        <v>0.77</v>
      </c>
      <c r="H40" s="8" t="n">
        <v>98.8</v>
      </c>
      <c r="I40" s="8">
        <f>MIN($D$40:$D$42)/D40*100</f>
        <v/>
      </c>
      <c r="J40" s="8">
        <f>MIN($E$40:$E$42)/E40*100</f>
        <v/>
      </c>
      <c r="K40" s="8">
        <f>MIN($G$40:$G$42)/G40*100</f>
        <v/>
      </c>
      <c r="L40" s="8">
        <f>H40</f>
        <v/>
      </c>
      <c r="M40" s="8">
        <f>I40*40%+J40*25%+K40*20%+L40*15%</f>
        <v/>
      </c>
      <c r="N40" s="6">
        <f>RANK(M40,$M$40:$M$42,0)</f>
        <v/>
      </c>
    </row>
    <row r="41">
      <c r="A41" s="6" t="inlineStr">
        <is>
          <t>SKU013</t>
        </is>
      </c>
      <c r="B41" s="6" t="inlineStr">
        <is>
          <t>Phone Case</t>
        </is>
      </c>
      <c r="C41" s="6" t="inlineStr">
        <is>
          <t>Supplier B</t>
        </is>
      </c>
      <c r="D41" s="7" t="n">
        <v>1304.77</v>
      </c>
      <c r="E41" s="6" t="n">
        <v>5</v>
      </c>
      <c r="F41" s="6" t="n">
        <v>10</v>
      </c>
      <c r="G41" s="9" t="n">
        <v>3.81</v>
      </c>
      <c r="H41" s="8" t="n">
        <v>93.90000000000001</v>
      </c>
      <c r="I41" s="8">
        <f>MIN($D$40:$D$42)/D41*100</f>
        <v/>
      </c>
      <c r="J41" s="8">
        <f>MIN($E$40:$E$42)/E41*100</f>
        <v/>
      </c>
      <c r="K41" s="8">
        <f>MIN($G$40:$G$42)/G41*100</f>
        <v/>
      </c>
      <c r="L41" s="8">
        <f>H41</f>
        <v/>
      </c>
      <c r="M41" s="8">
        <f>I41*40%+J41*25%+K41*20%+L41*15%</f>
        <v/>
      </c>
      <c r="N41" s="6">
        <f>RANK(M41,$M$40:$M$42,0)</f>
        <v/>
      </c>
    </row>
    <row r="42">
      <c r="A42" s="6" t="inlineStr">
        <is>
          <t>SKU013</t>
        </is>
      </c>
      <c r="B42" s="6" t="inlineStr">
        <is>
          <t>Phone Case</t>
        </is>
      </c>
      <c r="C42" s="6" t="inlineStr">
        <is>
          <t>Supplier C</t>
        </is>
      </c>
      <c r="D42" s="7" t="n">
        <v>1109.31</v>
      </c>
      <c r="E42" s="6" t="n">
        <v>5</v>
      </c>
      <c r="F42" s="6" t="n">
        <v>10</v>
      </c>
      <c r="G42" s="9" t="n">
        <v>1.59</v>
      </c>
      <c r="H42" s="8" t="n">
        <v>98.09999999999999</v>
      </c>
      <c r="I42" s="8">
        <f>MIN($D$40:$D$42)/D42*100</f>
        <v/>
      </c>
      <c r="J42" s="8">
        <f>MIN($E$40:$E$42)/E42*100</f>
        <v/>
      </c>
      <c r="K42" s="8">
        <f>MIN($G$40:$G$42)/G42*100</f>
        <v/>
      </c>
      <c r="L42" s="8">
        <f>H42</f>
        <v/>
      </c>
      <c r="M42" s="8">
        <f>I42*40%+J42*25%+K42*20%+L42*15%</f>
        <v/>
      </c>
      <c r="N42" s="6">
        <f>RANK(M42,$M$40:$M$42,0)</f>
        <v/>
      </c>
    </row>
    <row r="43">
      <c r="A43" s="6" t="inlineStr">
        <is>
          <t>SKU014</t>
        </is>
      </c>
      <c r="B43" s="6" t="inlineStr">
        <is>
          <t>Keyboard</t>
        </is>
      </c>
      <c r="C43" s="6" t="inlineStr">
        <is>
          <t>Supplier A</t>
        </is>
      </c>
      <c r="D43" s="7" t="n">
        <v>391.59</v>
      </c>
      <c r="E43" s="6" t="n">
        <v>3</v>
      </c>
      <c r="F43" s="6" t="n">
        <v>25</v>
      </c>
      <c r="G43" s="9" t="n">
        <v>1.18</v>
      </c>
      <c r="H43" s="8" t="n">
        <v>89.40000000000001</v>
      </c>
      <c r="I43" s="8">
        <f>MIN($D$43:$D$45)/D43*100</f>
        <v/>
      </c>
      <c r="J43" s="8">
        <f>MIN($E$43:$E$45)/E43*100</f>
        <v/>
      </c>
      <c r="K43" s="8">
        <f>MIN($G$43:$G$45)/G43*100</f>
        <v/>
      </c>
      <c r="L43" s="8">
        <f>H43</f>
        <v/>
      </c>
      <c r="M43" s="8">
        <f>I43*40%+J43*25%+K43*20%+L43*15%</f>
        <v/>
      </c>
      <c r="N43" s="6">
        <f>RANK(M43,$M$43:$M$45,0)</f>
        <v/>
      </c>
    </row>
    <row r="44">
      <c r="A44" s="6" t="inlineStr">
        <is>
          <t>SKU014</t>
        </is>
      </c>
      <c r="B44" s="6" t="inlineStr">
        <is>
          <t>Keyboard</t>
        </is>
      </c>
      <c r="C44" s="6" t="inlineStr">
        <is>
          <t>Supplier B</t>
        </is>
      </c>
      <c r="D44" s="7" t="n">
        <v>318.79</v>
      </c>
      <c r="E44" s="6" t="n">
        <v>11</v>
      </c>
      <c r="F44" s="6" t="n">
        <v>50</v>
      </c>
      <c r="G44" s="9" t="n">
        <v>4.39</v>
      </c>
      <c r="H44" s="8" t="n">
        <v>96.09999999999999</v>
      </c>
      <c r="I44" s="8">
        <f>MIN($D$43:$D$45)/D44*100</f>
        <v/>
      </c>
      <c r="J44" s="8">
        <f>MIN($E$43:$E$45)/E44*100</f>
        <v/>
      </c>
      <c r="K44" s="8">
        <f>MIN($G$43:$G$45)/G44*100</f>
        <v/>
      </c>
      <c r="L44" s="8">
        <f>H44</f>
        <v/>
      </c>
      <c r="M44" s="8">
        <f>I44*40%+J44*25%+K44*20%+L44*15%</f>
        <v/>
      </c>
      <c r="N44" s="6">
        <f>RANK(M44,$M$43:$M$45,0)</f>
        <v/>
      </c>
    </row>
    <row r="45">
      <c r="A45" s="6" t="inlineStr">
        <is>
          <t>SKU014</t>
        </is>
      </c>
      <c r="B45" s="6" t="inlineStr">
        <is>
          <t>Keyboard</t>
        </is>
      </c>
      <c r="C45" s="6" t="inlineStr">
        <is>
          <t>Supplier C</t>
        </is>
      </c>
      <c r="D45" s="7" t="n">
        <v>405.21</v>
      </c>
      <c r="E45" s="6" t="n">
        <v>6</v>
      </c>
      <c r="F45" s="6" t="n">
        <v>20</v>
      </c>
      <c r="G45" s="9" t="n">
        <v>4.4</v>
      </c>
      <c r="H45" s="8" t="n">
        <v>96.90000000000001</v>
      </c>
      <c r="I45" s="8">
        <f>MIN($D$43:$D$45)/D45*100</f>
        <v/>
      </c>
      <c r="J45" s="8">
        <f>MIN($E$43:$E$45)/E45*100</f>
        <v/>
      </c>
      <c r="K45" s="8">
        <f>MIN($G$43:$G$45)/G45*100</f>
        <v/>
      </c>
      <c r="L45" s="8">
        <f>H45</f>
        <v/>
      </c>
      <c r="M45" s="8">
        <f>I45*40%+J45*25%+K45*20%+L45*15%</f>
        <v/>
      </c>
      <c r="N45" s="6">
        <f>RANK(M45,$M$43:$M$45,0)</f>
        <v/>
      </c>
    </row>
    <row r="46">
      <c r="A46" s="6" t="inlineStr">
        <is>
          <t>SKU015</t>
        </is>
      </c>
      <c r="B46" s="6" t="inlineStr">
        <is>
          <t>Monitor Riser</t>
        </is>
      </c>
      <c r="C46" s="6" t="inlineStr">
        <is>
          <t>Supplier A</t>
        </is>
      </c>
      <c r="D46" s="7" t="n">
        <v>206</v>
      </c>
      <c r="E46" s="6" t="n">
        <v>3</v>
      </c>
      <c r="F46" s="6" t="n">
        <v>20</v>
      </c>
      <c r="G46" s="9" t="n">
        <v>3.39</v>
      </c>
      <c r="H46" s="8" t="n">
        <v>90.5</v>
      </c>
      <c r="I46" s="8">
        <f>MIN($D$46:$D$48)/D46*100</f>
        <v/>
      </c>
      <c r="J46" s="8">
        <f>MIN($E$46:$E$48)/E46*100</f>
        <v/>
      </c>
      <c r="K46" s="8">
        <f>MIN($G$46:$G$48)/G46*100</f>
        <v/>
      </c>
      <c r="L46" s="8">
        <f>H46</f>
        <v/>
      </c>
      <c r="M46" s="8">
        <f>I46*40%+J46*25%+K46*20%+L46*15%</f>
        <v/>
      </c>
      <c r="N46" s="6">
        <f>RANK(M46,$M$46:$M$48,0)</f>
        <v/>
      </c>
    </row>
    <row r="47">
      <c r="A47" s="6" t="inlineStr">
        <is>
          <t>SKU015</t>
        </is>
      </c>
      <c r="B47" s="6" t="inlineStr">
        <is>
          <t>Monitor Riser</t>
        </is>
      </c>
      <c r="C47" s="6" t="inlineStr">
        <is>
          <t>Supplier B</t>
        </is>
      </c>
      <c r="D47" s="7" t="n">
        <v>208.66</v>
      </c>
      <c r="E47" s="6" t="n">
        <v>13</v>
      </c>
      <c r="F47" s="6" t="n">
        <v>20</v>
      </c>
      <c r="G47" s="9" t="n">
        <v>1.42</v>
      </c>
      <c r="H47" s="8" t="n">
        <v>96.59999999999999</v>
      </c>
      <c r="I47" s="8">
        <f>MIN($D$46:$D$48)/D47*100</f>
        <v/>
      </c>
      <c r="J47" s="8">
        <f>MIN($E$46:$E$48)/E47*100</f>
        <v/>
      </c>
      <c r="K47" s="8">
        <f>MIN($G$46:$G$48)/G47*100</f>
        <v/>
      </c>
      <c r="L47" s="8">
        <f>H47</f>
        <v/>
      </c>
      <c r="M47" s="8">
        <f>I47*40%+J47*25%+K47*20%+L47*15%</f>
        <v/>
      </c>
      <c r="N47" s="6">
        <f>RANK(M47,$M$46:$M$48,0)</f>
        <v/>
      </c>
    </row>
    <row r="48">
      <c r="A48" s="6" t="inlineStr">
        <is>
          <t>SKU015</t>
        </is>
      </c>
      <c r="B48" s="6" t="inlineStr">
        <is>
          <t>Monitor Riser</t>
        </is>
      </c>
      <c r="C48" s="6" t="inlineStr">
        <is>
          <t>Supplier C</t>
        </is>
      </c>
      <c r="D48" s="7" t="n">
        <v>164.24</v>
      </c>
      <c r="E48" s="6" t="n">
        <v>3</v>
      </c>
      <c r="F48" s="6" t="n">
        <v>50</v>
      </c>
      <c r="G48" s="9" t="n">
        <v>1.23</v>
      </c>
      <c r="H48" s="8" t="n">
        <v>97</v>
      </c>
      <c r="I48" s="8">
        <f>MIN($D$46:$D$48)/D48*100</f>
        <v/>
      </c>
      <c r="J48" s="8">
        <f>MIN($E$46:$E$48)/E48*100</f>
        <v/>
      </c>
      <c r="K48" s="8">
        <f>MIN($G$46:$G$48)/G48*100</f>
        <v/>
      </c>
      <c r="L48" s="8">
        <f>H48</f>
        <v/>
      </c>
      <c r="M48" s="8">
        <f>I48*40%+J48*25%+K48*20%+L48*15%</f>
        <v/>
      </c>
      <c r="N48" s="6">
        <f>RANK(M48,$M$46:$M$48,0)</f>
        <v/>
      </c>
    </row>
    <row r="49">
      <c r="A49" s="6" t="inlineStr">
        <is>
          <t>SKU016</t>
        </is>
      </c>
      <c r="B49" s="6" t="inlineStr">
        <is>
          <t>Yoga Mat</t>
        </is>
      </c>
      <c r="C49" s="6" t="inlineStr">
        <is>
          <t>Supplier A</t>
        </is>
      </c>
      <c r="D49" s="7" t="n">
        <v>814.47</v>
      </c>
      <c r="E49" s="6" t="n">
        <v>7</v>
      </c>
      <c r="F49" s="6" t="n">
        <v>20</v>
      </c>
      <c r="G49" s="9" t="n">
        <v>1.24</v>
      </c>
      <c r="H49" s="8" t="n">
        <v>94.90000000000001</v>
      </c>
      <c r="I49" s="8">
        <f>MIN($D$49:$D$51)/D49*100</f>
        <v/>
      </c>
      <c r="J49" s="8">
        <f>MIN($E$49:$E$51)/E49*100</f>
        <v/>
      </c>
      <c r="K49" s="8">
        <f>MIN($G$49:$G$51)/G49*100</f>
        <v/>
      </c>
      <c r="L49" s="8">
        <f>H49</f>
        <v/>
      </c>
      <c r="M49" s="8">
        <f>I49*40%+J49*25%+K49*20%+L49*15%</f>
        <v/>
      </c>
      <c r="N49" s="6">
        <f>RANK(M49,$M$49:$M$51,0)</f>
        <v/>
      </c>
    </row>
    <row r="50">
      <c r="A50" s="6" t="inlineStr">
        <is>
          <t>SKU016</t>
        </is>
      </c>
      <c r="B50" s="6" t="inlineStr">
        <is>
          <t>Yoga Mat</t>
        </is>
      </c>
      <c r="C50" s="6" t="inlineStr">
        <is>
          <t>Supplier B</t>
        </is>
      </c>
      <c r="D50" s="7" t="n">
        <v>799.63</v>
      </c>
      <c r="E50" s="6" t="n">
        <v>7</v>
      </c>
      <c r="F50" s="6" t="n">
        <v>10</v>
      </c>
      <c r="G50" s="9" t="n">
        <v>4.36</v>
      </c>
      <c r="H50" s="8" t="n">
        <v>89.8</v>
      </c>
      <c r="I50" s="8">
        <f>MIN($D$49:$D$51)/D50*100</f>
        <v/>
      </c>
      <c r="J50" s="8">
        <f>MIN($E$49:$E$51)/E50*100</f>
        <v/>
      </c>
      <c r="K50" s="8">
        <f>MIN($G$49:$G$51)/G50*100</f>
        <v/>
      </c>
      <c r="L50" s="8">
        <f>H50</f>
        <v/>
      </c>
      <c r="M50" s="8">
        <f>I50*40%+J50*25%+K50*20%+L50*15%</f>
        <v/>
      </c>
      <c r="N50" s="6">
        <f>RANK(M50,$M$49:$M$51,0)</f>
        <v/>
      </c>
    </row>
    <row r="51">
      <c r="A51" s="6" t="inlineStr">
        <is>
          <t>SKU016</t>
        </is>
      </c>
      <c r="B51" s="6" t="inlineStr">
        <is>
          <t>Yoga Mat</t>
        </is>
      </c>
      <c r="C51" s="6" t="inlineStr">
        <is>
          <t>Supplier C</t>
        </is>
      </c>
      <c r="D51" s="7" t="n">
        <v>857.96</v>
      </c>
      <c r="E51" s="6" t="n">
        <v>9</v>
      </c>
      <c r="F51" s="6" t="n">
        <v>25</v>
      </c>
      <c r="G51" s="9" t="n">
        <v>4.24</v>
      </c>
      <c r="H51" s="8" t="n">
        <v>87.59999999999999</v>
      </c>
      <c r="I51" s="8">
        <f>MIN($D$49:$D$51)/D51*100</f>
        <v/>
      </c>
      <c r="J51" s="8">
        <f>MIN($E$49:$E$51)/E51*100</f>
        <v/>
      </c>
      <c r="K51" s="8">
        <f>MIN($G$49:$G$51)/G51*100</f>
        <v/>
      </c>
      <c r="L51" s="8">
        <f>H51</f>
        <v/>
      </c>
      <c r="M51" s="8">
        <f>I51*40%+J51*25%+K51*20%+L51*15%</f>
        <v/>
      </c>
      <c r="N51" s="6">
        <f>RANK(M51,$M$49:$M$51,0)</f>
        <v/>
      </c>
    </row>
    <row r="52">
      <c r="A52" s="6" t="inlineStr">
        <is>
          <t>SKU017</t>
        </is>
      </c>
      <c r="B52" s="6" t="inlineStr">
        <is>
          <t>Resistance Bands</t>
        </is>
      </c>
      <c r="C52" s="6" t="inlineStr">
        <is>
          <t>Supplier A</t>
        </is>
      </c>
      <c r="D52" s="7" t="n">
        <v>257.65</v>
      </c>
      <c r="E52" s="6" t="n">
        <v>5</v>
      </c>
      <c r="F52" s="6" t="n">
        <v>25</v>
      </c>
      <c r="G52" s="9" t="n">
        <v>0.46</v>
      </c>
      <c r="H52" s="8" t="n">
        <v>94.09999999999999</v>
      </c>
      <c r="I52" s="8">
        <f>MIN($D$52:$D$54)/D52*100</f>
        <v/>
      </c>
      <c r="J52" s="8">
        <f>MIN($E$52:$E$54)/E52*100</f>
        <v/>
      </c>
      <c r="K52" s="8">
        <f>MIN($G$52:$G$54)/G52*100</f>
        <v/>
      </c>
      <c r="L52" s="8">
        <f>H52</f>
        <v/>
      </c>
      <c r="M52" s="8">
        <f>I52*40%+J52*25%+K52*20%+L52*15%</f>
        <v/>
      </c>
      <c r="N52" s="6">
        <f>RANK(M52,$M$52:$M$54,0)</f>
        <v/>
      </c>
    </row>
    <row r="53">
      <c r="A53" s="6" t="inlineStr">
        <is>
          <t>SKU017</t>
        </is>
      </c>
      <c r="B53" s="6" t="inlineStr">
        <is>
          <t>Resistance Bands</t>
        </is>
      </c>
      <c r="C53" s="6" t="inlineStr">
        <is>
          <t>Supplier B</t>
        </is>
      </c>
      <c r="D53" s="7" t="n">
        <v>216.42</v>
      </c>
      <c r="E53" s="6" t="n">
        <v>8</v>
      </c>
      <c r="F53" s="6" t="n">
        <v>50</v>
      </c>
      <c r="G53" s="9" t="n">
        <v>2.85</v>
      </c>
      <c r="H53" s="8" t="n">
        <v>92.90000000000001</v>
      </c>
      <c r="I53" s="8">
        <f>MIN($D$52:$D$54)/D53*100</f>
        <v/>
      </c>
      <c r="J53" s="8">
        <f>MIN($E$52:$E$54)/E53*100</f>
        <v/>
      </c>
      <c r="K53" s="8">
        <f>MIN($G$52:$G$54)/G53*100</f>
        <v/>
      </c>
      <c r="L53" s="8">
        <f>H53</f>
        <v/>
      </c>
      <c r="M53" s="8">
        <f>I53*40%+J53*25%+K53*20%+L53*15%</f>
        <v/>
      </c>
      <c r="N53" s="6">
        <f>RANK(M53,$M$52:$M$54,0)</f>
        <v/>
      </c>
    </row>
    <row r="54">
      <c r="A54" s="6" t="inlineStr">
        <is>
          <t>SKU017</t>
        </is>
      </c>
      <c r="B54" s="6" t="inlineStr">
        <is>
          <t>Resistance Bands</t>
        </is>
      </c>
      <c r="C54" s="6" t="inlineStr">
        <is>
          <t>Supplier C</t>
        </is>
      </c>
      <c r="D54" s="7" t="n">
        <v>219.02</v>
      </c>
      <c r="E54" s="6" t="n">
        <v>12</v>
      </c>
      <c r="F54" s="6" t="n">
        <v>20</v>
      </c>
      <c r="G54" s="9" t="n">
        <v>1.37</v>
      </c>
      <c r="H54" s="8" t="n">
        <v>95.59999999999999</v>
      </c>
      <c r="I54" s="8">
        <f>MIN($D$52:$D$54)/D54*100</f>
        <v/>
      </c>
      <c r="J54" s="8">
        <f>MIN($E$52:$E$54)/E54*100</f>
        <v/>
      </c>
      <c r="K54" s="8">
        <f>MIN($G$52:$G$54)/G54*100</f>
        <v/>
      </c>
      <c r="L54" s="8">
        <f>H54</f>
        <v/>
      </c>
      <c r="M54" s="8">
        <f>I54*40%+J54*25%+K54*20%+L54*15%</f>
        <v/>
      </c>
      <c r="N54" s="6">
        <f>RANK(M54,$M$52:$M$54,0)</f>
        <v/>
      </c>
    </row>
    <row r="55">
      <c r="A55" s="6" t="inlineStr">
        <is>
          <t>SKU018</t>
        </is>
      </c>
      <c r="B55" s="6" t="inlineStr">
        <is>
          <t>Running Bottle</t>
        </is>
      </c>
      <c r="C55" s="6" t="inlineStr">
        <is>
          <t>Supplier A</t>
        </is>
      </c>
      <c r="D55" s="7" t="n">
        <v>1056.61</v>
      </c>
      <c r="E55" s="6" t="n">
        <v>11</v>
      </c>
      <c r="F55" s="6" t="n">
        <v>20</v>
      </c>
      <c r="G55" s="9" t="n">
        <v>1.83</v>
      </c>
      <c r="H55" s="8" t="n">
        <v>86.90000000000001</v>
      </c>
      <c r="I55" s="8">
        <f>MIN($D$55:$D$57)/D55*100</f>
        <v/>
      </c>
      <c r="J55" s="8">
        <f>MIN($E$55:$E$57)/E55*100</f>
        <v/>
      </c>
      <c r="K55" s="8">
        <f>MIN($G$55:$G$57)/G55*100</f>
        <v/>
      </c>
      <c r="L55" s="8">
        <f>H55</f>
        <v/>
      </c>
      <c r="M55" s="8">
        <f>I55*40%+J55*25%+K55*20%+L55*15%</f>
        <v/>
      </c>
      <c r="N55" s="6">
        <f>RANK(M55,$M$55:$M$57,0)</f>
        <v/>
      </c>
    </row>
    <row r="56">
      <c r="A56" s="6" t="inlineStr">
        <is>
          <t>SKU018</t>
        </is>
      </c>
      <c r="B56" s="6" t="inlineStr">
        <is>
          <t>Running Bottle</t>
        </is>
      </c>
      <c r="C56" s="6" t="inlineStr">
        <is>
          <t>Supplier B</t>
        </is>
      </c>
      <c r="D56" s="7" t="n">
        <v>1295.13</v>
      </c>
      <c r="E56" s="6" t="n">
        <v>8</v>
      </c>
      <c r="F56" s="6" t="n">
        <v>25</v>
      </c>
      <c r="G56" s="9" t="n">
        <v>3.09</v>
      </c>
      <c r="H56" s="8" t="n">
        <v>87.7</v>
      </c>
      <c r="I56" s="8">
        <f>MIN($D$55:$D$57)/D56*100</f>
        <v/>
      </c>
      <c r="J56" s="8">
        <f>MIN($E$55:$E$57)/E56*100</f>
        <v/>
      </c>
      <c r="K56" s="8">
        <f>MIN($G$55:$G$57)/G56*100</f>
        <v/>
      </c>
      <c r="L56" s="8">
        <f>H56</f>
        <v/>
      </c>
      <c r="M56" s="8">
        <f>I56*40%+J56*25%+K56*20%+L56*15%</f>
        <v/>
      </c>
      <c r="N56" s="6">
        <f>RANK(M56,$M$55:$M$57,0)</f>
        <v/>
      </c>
    </row>
    <row r="57">
      <c r="A57" s="6" t="inlineStr">
        <is>
          <t>SKU018</t>
        </is>
      </c>
      <c r="B57" s="6" t="inlineStr">
        <is>
          <t>Running Bottle</t>
        </is>
      </c>
      <c r="C57" s="6" t="inlineStr">
        <is>
          <t>Supplier C</t>
        </is>
      </c>
      <c r="D57" s="7" t="n">
        <v>1380.02</v>
      </c>
      <c r="E57" s="6" t="n">
        <v>11</v>
      </c>
      <c r="F57" s="6" t="n">
        <v>25</v>
      </c>
      <c r="G57" s="9" t="n">
        <v>3.1</v>
      </c>
      <c r="H57" s="8" t="n">
        <v>90.40000000000001</v>
      </c>
      <c r="I57" s="8">
        <f>MIN($D$55:$D$57)/D57*100</f>
        <v/>
      </c>
      <c r="J57" s="8">
        <f>MIN($E$55:$E$57)/E57*100</f>
        <v/>
      </c>
      <c r="K57" s="8">
        <f>MIN($G$55:$G$57)/G57*100</f>
        <v/>
      </c>
      <c r="L57" s="8">
        <f>H57</f>
        <v/>
      </c>
      <c r="M57" s="8">
        <f>I57*40%+J57*25%+K57*20%+L57*15%</f>
        <v/>
      </c>
      <c r="N57" s="6">
        <f>RANK(M57,$M$55:$M$57,0)</f>
        <v/>
      </c>
    </row>
    <row r="58">
      <c r="A58" s="6" t="inlineStr">
        <is>
          <t>SKU019</t>
        </is>
      </c>
      <c r="B58" s="6" t="inlineStr">
        <is>
          <t>Lunch Container</t>
        </is>
      </c>
      <c r="C58" s="6" t="inlineStr">
        <is>
          <t>Supplier A</t>
        </is>
      </c>
      <c r="D58" s="7" t="n">
        <v>130.7</v>
      </c>
      <c r="E58" s="6" t="n">
        <v>11</v>
      </c>
      <c r="F58" s="6" t="n">
        <v>20</v>
      </c>
      <c r="G58" s="9" t="n">
        <v>1.11</v>
      </c>
      <c r="H58" s="8" t="n">
        <v>95</v>
      </c>
      <c r="I58" s="8">
        <f>MIN($D$58:$D$60)/D58*100</f>
        <v/>
      </c>
      <c r="J58" s="8">
        <f>MIN($E$58:$E$60)/E58*100</f>
        <v/>
      </c>
      <c r="K58" s="8">
        <f>MIN($G$58:$G$60)/G58*100</f>
        <v/>
      </c>
      <c r="L58" s="8">
        <f>H58</f>
        <v/>
      </c>
      <c r="M58" s="8">
        <f>I58*40%+J58*25%+K58*20%+L58*15%</f>
        <v/>
      </c>
      <c r="N58" s="6">
        <f>RANK(M58,$M$58:$M$60,0)</f>
        <v/>
      </c>
    </row>
    <row r="59">
      <c r="A59" s="6" t="inlineStr">
        <is>
          <t>SKU019</t>
        </is>
      </c>
      <c r="B59" s="6" t="inlineStr">
        <is>
          <t>Lunch Container</t>
        </is>
      </c>
      <c r="C59" s="6" t="inlineStr">
        <is>
          <t>Supplier B</t>
        </is>
      </c>
      <c r="D59" s="7" t="n">
        <v>119.25</v>
      </c>
      <c r="E59" s="6" t="n">
        <v>5</v>
      </c>
      <c r="F59" s="6" t="n">
        <v>25</v>
      </c>
      <c r="G59" s="9" t="n">
        <v>2.01</v>
      </c>
      <c r="H59" s="8" t="n">
        <v>97.3</v>
      </c>
      <c r="I59" s="8">
        <f>MIN($D$58:$D$60)/D59*100</f>
        <v/>
      </c>
      <c r="J59" s="8">
        <f>MIN($E$58:$E$60)/E59*100</f>
        <v/>
      </c>
      <c r="K59" s="8">
        <f>MIN($G$58:$G$60)/G59*100</f>
        <v/>
      </c>
      <c r="L59" s="8">
        <f>H59</f>
        <v/>
      </c>
      <c r="M59" s="8">
        <f>I59*40%+J59*25%+K59*20%+L59*15%</f>
        <v/>
      </c>
      <c r="N59" s="6">
        <f>RANK(M59,$M$58:$M$60,0)</f>
        <v/>
      </c>
    </row>
    <row r="60">
      <c r="A60" s="6" t="inlineStr">
        <is>
          <t>SKU019</t>
        </is>
      </c>
      <c r="B60" s="6" t="inlineStr">
        <is>
          <t>Lunch Container</t>
        </is>
      </c>
      <c r="C60" s="6" t="inlineStr">
        <is>
          <t>Supplier C</t>
        </is>
      </c>
      <c r="D60" s="7" t="n">
        <v>116.54</v>
      </c>
      <c r="E60" s="6" t="n">
        <v>6</v>
      </c>
      <c r="F60" s="6" t="n">
        <v>50</v>
      </c>
      <c r="G60" s="9" t="n">
        <v>3.6</v>
      </c>
      <c r="H60" s="8" t="n">
        <v>94.2</v>
      </c>
      <c r="I60" s="8">
        <f>MIN($D$58:$D$60)/D60*100</f>
        <v/>
      </c>
      <c r="J60" s="8">
        <f>MIN($E$58:$E$60)/E60*100</f>
        <v/>
      </c>
      <c r="K60" s="8">
        <f>MIN($G$58:$G$60)/G60*100</f>
        <v/>
      </c>
      <c r="L60" s="8">
        <f>H60</f>
        <v/>
      </c>
      <c r="M60" s="8">
        <f>I60*40%+J60*25%+K60*20%+L60*15%</f>
        <v/>
      </c>
      <c r="N60" s="6">
        <f>RANK(M60,$M$58:$M$60,0)</f>
        <v/>
      </c>
    </row>
    <row r="61">
      <c r="A61" s="6" t="inlineStr">
        <is>
          <t>SKU020</t>
        </is>
      </c>
      <c r="B61" s="6" t="inlineStr">
        <is>
          <t>Bedside Organizer</t>
        </is>
      </c>
      <c r="C61" s="6" t="inlineStr">
        <is>
          <t>Supplier A</t>
        </is>
      </c>
      <c r="D61" s="7" t="n">
        <v>634.84</v>
      </c>
      <c r="E61" s="6" t="n">
        <v>10</v>
      </c>
      <c r="F61" s="6" t="n">
        <v>50</v>
      </c>
      <c r="G61" s="9" t="n">
        <v>3.14</v>
      </c>
      <c r="H61" s="8" t="n">
        <v>92.90000000000001</v>
      </c>
      <c r="I61" s="8">
        <f>MIN($D$61:$D$63)/D61*100</f>
        <v/>
      </c>
      <c r="J61" s="8">
        <f>MIN($E$61:$E$63)/E61*100</f>
        <v/>
      </c>
      <c r="K61" s="8">
        <f>MIN($G$61:$G$63)/G61*100</f>
        <v/>
      </c>
      <c r="L61" s="8">
        <f>H61</f>
        <v/>
      </c>
      <c r="M61" s="8">
        <f>I61*40%+J61*25%+K61*20%+L61*15%</f>
        <v/>
      </c>
      <c r="N61" s="6">
        <f>RANK(M61,$M$61:$M$63,0)</f>
        <v/>
      </c>
    </row>
    <row r="62">
      <c r="A62" s="6" t="inlineStr">
        <is>
          <t>SKU020</t>
        </is>
      </c>
      <c r="B62" s="6" t="inlineStr">
        <is>
          <t>Bedside Organizer</t>
        </is>
      </c>
      <c r="C62" s="6" t="inlineStr">
        <is>
          <t>Supplier B</t>
        </is>
      </c>
      <c r="D62" s="7" t="n">
        <v>726.78</v>
      </c>
      <c r="E62" s="6" t="n">
        <v>5</v>
      </c>
      <c r="F62" s="6" t="n">
        <v>10</v>
      </c>
      <c r="G62" s="9" t="n">
        <v>1.49</v>
      </c>
      <c r="H62" s="8" t="n">
        <v>95</v>
      </c>
      <c r="I62" s="8">
        <f>MIN($D$61:$D$63)/D62*100</f>
        <v/>
      </c>
      <c r="J62" s="8">
        <f>MIN($E$61:$E$63)/E62*100</f>
        <v/>
      </c>
      <c r="K62" s="8">
        <f>MIN($G$61:$G$63)/G62*100</f>
        <v/>
      </c>
      <c r="L62" s="8">
        <f>H62</f>
        <v/>
      </c>
      <c r="M62" s="8">
        <f>I62*40%+J62*25%+K62*20%+L62*15%</f>
        <v/>
      </c>
      <c r="N62" s="6">
        <f>RANK(M62,$M$61:$M$63,0)</f>
        <v/>
      </c>
    </row>
    <row r="63">
      <c r="A63" s="6" t="inlineStr">
        <is>
          <t>SKU020</t>
        </is>
      </c>
      <c r="B63" s="6" t="inlineStr">
        <is>
          <t>Bedside Organizer</t>
        </is>
      </c>
      <c r="C63" s="6" t="inlineStr">
        <is>
          <t>Supplier C</t>
        </is>
      </c>
      <c r="D63" s="7" t="n">
        <v>692.76</v>
      </c>
      <c r="E63" s="6" t="n">
        <v>4</v>
      </c>
      <c r="F63" s="6" t="n">
        <v>20</v>
      </c>
      <c r="G63" s="9" t="n">
        <v>3.13</v>
      </c>
      <c r="H63" s="8" t="n">
        <v>89</v>
      </c>
      <c r="I63" s="8">
        <f>MIN($D$61:$D$63)/D63*100</f>
        <v/>
      </c>
      <c r="J63" s="8">
        <f>MIN($E$61:$E$63)/E63*100</f>
        <v/>
      </c>
      <c r="K63" s="8">
        <f>MIN($G$61:$G$63)/G63*100</f>
        <v/>
      </c>
      <c r="L63" s="8">
        <f>H63</f>
        <v/>
      </c>
      <c r="M63" s="8">
        <f>I63*40%+J63*25%+K63*20%+L63*15%</f>
        <v/>
      </c>
      <c r="N63" s="6">
        <f>RANK(M63,$M$61:$M$63,0)</f>
        <v/>
      </c>
    </row>
    <row r="64">
      <c r="A64" s="6" t="inlineStr">
        <is>
          <t>SKU021</t>
        </is>
      </c>
      <c r="B64" s="6" t="inlineStr">
        <is>
          <t>Charging Adapter</t>
        </is>
      </c>
      <c r="C64" s="6" t="inlineStr">
        <is>
          <t>Supplier A</t>
        </is>
      </c>
      <c r="D64" s="7" t="n">
        <v>206.74</v>
      </c>
      <c r="E64" s="6" t="n">
        <v>3</v>
      </c>
      <c r="F64" s="6" t="n">
        <v>10</v>
      </c>
      <c r="G64" s="9" t="n">
        <v>1.33</v>
      </c>
      <c r="H64" s="8" t="n">
        <v>92.40000000000001</v>
      </c>
      <c r="I64" s="8">
        <f>MIN($D$64:$D$66)/D64*100</f>
        <v/>
      </c>
      <c r="J64" s="8">
        <f>MIN($E$64:$E$66)/E64*100</f>
        <v/>
      </c>
      <c r="K64" s="8">
        <f>MIN($G$64:$G$66)/G64*100</f>
        <v/>
      </c>
      <c r="L64" s="8">
        <f>H64</f>
        <v/>
      </c>
      <c r="M64" s="8">
        <f>I64*40%+J64*25%+K64*20%+L64*15%</f>
        <v/>
      </c>
      <c r="N64" s="6">
        <f>RANK(M64,$M$64:$M$66,0)</f>
        <v/>
      </c>
    </row>
    <row r="65">
      <c r="A65" s="6" t="inlineStr">
        <is>
          <t>SKU021</t>
        </is>
      </c>
      <c r="B65" s="6" t="inlineStr">
        <is>
          <t>Charging Adapter</t>
        </is>
      </c>
      <c r="C65" s="6" t="inlineStr">
        <is>
          <t>Supplier B</t>
        </is>
      </c>
      <c r="D65" s="7" t="n">
        <v>249.68</v>
      </c>
      <c r="E65" s="6" t="n">
        <v>4</v>
      </c>
      <c r="F65" s="6" t="n">
        <v>50</v>
      </c>
      <c r="G65" s="9" t="n">
        <v>2.04</v>
      </c>
      <c r="H65" s="8" t="n">
        <v>94.5</v>
      </c>
      <c r="I65" s="8">
        <f>MIN($D$64:$D$66)/D65*100</f>
        <v/>
      </c>
      <c r="J65" s="8">
        <f>MIN($E$64:$E$66)/E65*100</f>
        <v/>
      </c>
      <c r="K65" s="8">
        <f>MIN($G$64:$G$66)/G65*100</f>
        <v/>
      </c>
      <c r="L65" s="8">
        <f>H65</f>
        <v/>
      </c>
      <c r="M65" s="8">
        <f>I65*40%+J65*25%+K65*20%+L65*15%</f>
        <v/>
      </c>
      <c r="N65" s="6">
        <f>RANK(M65,$M$64:$M$66,0)</f>
        <v/>
      </c>
    </row>
    <row r="66">
      <c r="A66" s="6" t="inlineStr">
        <is>
          <t>SKU021</t>
        </is>
      </c>
      <c r="B66" s="6" t="inlineStr">
        <is>
          <t>Charging Adapter</t>
        </is>
      </c>
      <c r="C66" s="6" t="inlineStr">
        <is>
          <t>Supplier C</t>
        </is>
      </c>
      <c r="D66" s="7" t="n">
        <v>206.43</v>
      </c>
      <c r="E66" s="6" t="n">
        <v>9</v>
      </c>
      <c r="F66" s="6" t="n">
        <v>50</v>
      </c>
      <c r="G66" s="9" t="n">
        <v>1.98</v>
      </c>
      <c r="H66" s="8" t="n">
        <v>88</v>
      </c>
      <c r="I66" s="8">
        <f>MIN($D$64:$D$66)/D66*100</f>
        <v/>
      </c>
      <c r="J66" s="8">
        <f>MIN($E$64:$E$66)/E66*100</f>
        <v/>
      </c>
      <c r="K66" s="8">
        <f>MIN($G$64:$G$66)/G66*100</f>
        <v/>
      </c>
      <c r="L66" s="8">
        <f>H66</f>
        <v/>
      </c>
      <c r="M66" s="8">
        <f>I66*40%+J66*25%+K66*20%+L66*15%</f>
        <v/>
      </c>
      <c r="N66" s="6">
        <f>RANK(M66,$M$64:$M$66,0)</f>
        <v/>
      </c>
    </row>
    <row r="67">
      <c r="A67" s="6" t="inlineStr">
        <is>
          <t>SKU022</t>
        </is>
      </c>
      <c r="B67" s="6" t="inlineStr">
        <is>
          <t>Headphones</t>
        </is>
      </c>
      <c r="C67" s="6" t="inlineStr">
        <is>
          <t>Supplier A</t>
        </is>
      </c>
      <c r="D67" s="7" t="n">
        <v>325.89</v>
      </c>
      <c r="E67" s="6" t="n">
        <v>4</v>
      </c>
      <c r="F67" s="6" t="n">
        <v>50</v>
      </c>
      <c r="G67" s="9" t="n">
        <v>1.22</v>
      </c>
      <c r="H67" s="8" t="n">
        <v>96.90000000000001</v>
      </c>
      <c r="I67" s="8">
        <f>MIN($D$67:$D$69)/D67*100</f>
        <v/>
      </c>
      <c r="J67" s="8">
        <f>MIN($E$67:$E$69)/E67*100</f>
        <v/>
      </c>
      <c r="K67" s="8">
        <f>MIN($G$67:$G$69)/G67*100</f>
        <v/>
      </c>
      <c r="L67" s="8">
        <f>H67</f>
        <v/>
      </c>
      <c r="M67" s="8">
        <f>I67*40%+J67*25%+K67*20%+L67*15%</f>
        <v/>
      </c>
      <c r="N67" s="6">
        <f>RANK(M67,$M$67:$M$69,0)</f>
        <v/>
      </c>
    </row>
    <row r="68">
      <c r="A68" s="6" t="inlineStr">
        <is>
          <t>SKU022</t>
        </is>
      </c>
      <c r="B68" s="6" t="inlineStr">
        <is>
          <t>Headphones</t>
        </is>
      </c>
      <c r="C68" s="6" t="inlineStr">
        <is>
          <t>Supplier B</t>
        </is>
      </c>
      <c r="D68" s="7" t="n">
        <v>326.63</v>
      </c>
      <c r="E68" s="6" t="n">
        <v>10</v>
      </c>
      <c r="F68" s="6" t="n">
        <v>10</v>
      </c>
      <c r="G68" s="9" t="n">
        <v>2.64</v>
      </c>
      <c r="H68" s="8" t="n">
        <v>98.40000000000001</v>
      </c>
      <c r="I68" s="8">
        <f>MIN($D$67:$D$69)/D68*100</f>
        <v/>
      </c>
      <c r="J68" s="8">
        <f>MIN($E$67:$E$69)/E68*100</f>
        <v/>
      </c>
      <c r="K68" s="8">
        <f>MIN($G$67:$G$69)/G68*100</f>
        <v/>
      </c>
      <c r="L68" s="8">
        <f>H68</f>
        <v/>
      </c>
      <c r="M68" s="8">
        <f>I68*40%+J68*25%+K68*20%+L68*15%</f>
        <v/>
      </c>
      <c r="N68" s="6">
        <f>RANK(M68,$M$67:$M$69,0)</f>
        <v/>
      </c>
    </row>
    <row r="69">
      <c r="A69" s="6" t="inlineStr">
        <is>
          <t>SKU022</t>
        </is>
      </c>
      <c r="B69" s="6" t="inlineStr">
        <is>
          <t>Headphones</t>
        </is>
      </c>
      <c r="C69" s="6" t="inlineStr">
        <is>
          <t>Supplier C</t>
        </is>
      </c>
      <c r="D69" s="7" t="n">
        <v>274.92</v>
      </c>
      <c r="E69" s="6" t="n">
        <v>5</v>
      </c>
      <c r="F69" s="6" t="n">
        <v>50</v>
      </c>
      <c r="G69" s="9" t="n">
        <v>3.1</v>
      </c>
      <c r="H69" s="8" t="n">
        <v>99.3</v>
      </c>
      <c r="I69" s="8">
        <f>MIN($D$67:$D$69)/D69*100</f>
        <v/>
      </c>
      <c r="J69" s="8">
        <f>MIN($E$67:$E$69)/E69*100</f>
        <v/>
      </c>
      <c r="K69" s="8">
        <f>MIN($G$67:$G$69)/G69*100</f>
        <v/>
      </c>
      <c r="L69" s="8">
        <f>H69</f>
        <v/>
      </c>
      <c r="M69" s="8">
        <f>I69*40%+J69*25%+K69*20%+L69*15%</f>
        <v/>
      </c>
      <c r="N69" s="6">
        <f>RANK(M69,$M$67:$M$69,0)</f>
        <v/>
      </c>
    </row>
    <row r="70">
      <c r="A70" s="6" t="inlineStr">
        <is>
          <t>SKU023</t>
        </is>
      </c>
      <c r="B70" s="6" t="inlineStr">
        <is>
          <t>Packing Cubes</t>
        </is>
      </c>
      <c r="C70" s="6" t="inlineStr">
        <is>
          <t>Supplier A</t>
        </is>
      </c>
      <c r="D70" s="7" t="n">
        <v>444.63</v>
      </c>
      <c r="E70" s="6" t="n">
        <v>10</v>
      </c>
      <c r="F70" s="6" t="n">
        <v>50</v>
      </c>
      <c r="G70" s="9" t="n">
        <v>3.79</v>
      </c>
      <c r="H70" s="8" t="n">
        <v>93.40000000000001</v>
      </c>
      <c r="I70" s="8">
        <f>MIN($D$70:$D$72)/D70*100</f>
        <v/>
      </c>
      <c r="J70" s="8">
        <f>MIN($E$70:$E$72)/E70*100</f>
        <v/>
      </c>
      <c r="K70" s="8">
        <f>MIN($G$70:$G$72)/G70*100</f>
        <v/>
      </c>
      <c r="L70" s="8">
        <f>H70</f>
        <v/>
      </c>
      <c r="M70" s="8">
        <f>I70*40%+J70*25%+K70*20%+L70*15%</f>
        <v/>
      </c>
      <c r="N70" s="6">
        <f>RANK(M70,$M$70:$M$72,0)</f>
        <v/>
      </c>
    </row>
    <row r="71">
      <c r="A71" s="6" t="inlineStr">
        <is>
          <t>SKU023</t>
        </is>
      </c>
      <c r="B71" s="6" t="inlineStr">
        <is>
          <t>Packing Cubes</t>
        </is>
      </c>
      <c r="C71" s="6" t="inlineStr">
        <is>
          <t>Supplier B</t>
        </is>
      </c>
      <c r="D71" s="7" t="n">
        <v>482.65</v>
      </c>
      <c r="E71" s="6" t="n">
        <v>10</v>
      </c>
      <c r="F71" s="6" t="n">
        <v>50</v>
      </c>
      <c r="G71" s="9" t="n">
        <v>1.39</v>
      </c>
      <c r="H71" s="8" t="n">
        <v>89.3</v>
      </c>
      <c r="I71" s="8">
        <f>MIN($D$70:$D$72)/D71*100</f>
        <v/>
      </c>
      <c r="J71" s="8">
        <f>MIN($E$70:$E$72)/E71*100</f>
        <v/>
      </c>
      <c r="K71" s="8">
        <f>MIN($G$70:$G$72)/G71*100</f>
        <v/>
      </c>
      <c r="L71" s="8">
        <f>H71</f>
        <v/>
      </c>
      <c r="M71" s="8">
        <f>I71*40%+J71*25%+K71*20%+L71*15%</f>
        <v/>
      </c>
      <c r="N71" s="6">
        <f>RANK(M71,$M$70:$M$72,0)</f>
        <v/>
      </c>
    </row>
    <row r="72">
      <c r="A72" s="6" t="inlineStr">
        <is>
          <t>SKU023</t>
        </is>
      </c>
      <c r="B72" s="6" t="inlineStr">
        <is>
          <t>Packing Cubes</t>
        </is>
      </c>
      <c r="C72" s="6" t="inlineStr">
        <is>
          <t>Supplier C</t>
        </is>
      </c>
      <c r="D72" s="7" t="n">
        <v>449.95</v>
      </c>
      <c r="E72" s="6" t="n">
        <v>11</v>
      </c>
      <c r="F72" s="6" t="n">
        <v>50</v>
      </c>
      <c r="G72" s="9" t="n">
        <v>2.93</v>
      </c>
      <c r="H72" s="8" t="n">
        <v>89.7</v>
      </c>
      <c r="I72" s="8">
        <f>MIN($D$70:$D$72)/D72*100</f>
        <v/>
      </c>
      <c r="J72" s="8">
        <f>MIN($E$70:$E$72)/E72*100</f>
        <v/>
      </c>
      <c r="K72" s="8">
        <f>MIN($G$70:$G$72)/G72*100</f>
        <v/>
      </c>
      <c r="L72" s="8">
        <f>H72</f>
        <v/>
      </c>
      <c r="M72" s="8">
        <f>I72*40%+J72*25%+K72*20%+L72*15%</f>
        <v/>
      </c>
      <c r="N72" s="6">
        <f>RANK(M72,$M$70:$M$72,0)</f>
        <v/>
      </c>
    </row>
    <row r="73">
      <c r="A73" s="6" t="inlineStr">
        <is>
          <t>SKU024</t>
        </is>
      </c>
      <c r="B73" s="6" t="inlineStr">
        <is>
          <t>Sticky Notes</t>
        </is>
      </c>
      <c r="C73" s="6" t="inlineStr">
        <is>
          <t>Supplier A</t>
        </is>
      </c>
      <c r="D73" s="7" t="n">
        <v>135.49</v>
      </c>
      <c r="E73" s="6" t="n">
        <v>7</v>
      </c>
      <c r="F73" s="6" t="n">
        <v>20</v>
      </c>
      <c r="G73" s="9" t="n">
        <v>1.44</v>
      </c>
      <c r="H73" s="8" t="n">
        <v>90.3</v>
      </c>
      <c r="I73" s="8">
        <f>MIN($D$73:$D$75)/D73*100</f>
        <v/>
      </c>
      <c r="J73" s="8">
        <f>MIN($E$73:$E$75)/E73*100</f>
        <v/>
      </c>
      <c r="K73" s="8">
        <f>MIN($G$73:$G$75)/G73*100</f>
        <v/>
      </c>
      <c r="L73" s="8">
        <f>H73</f>
        <v/>
      </c>
      <c r="M73" s="8">
        <f>I73*40%+J73*25%+K73*20%+L73*15%</f>
        <v/>
      </c>
      <c r="N73" s="6">
        <f>RANK(M73,$M$73:$M$75,0)</f>
        <v/>
      </c>
    </row>
    <row r="74">
      <c r="A74" s="6" t="inlineStr">
        <is>
          <t>SKU024</t>
        </is>
      </c>
      <c r="B74" s="6" t="inlineStr">
        <is>
          <t>Sticky Notes</t>
        </is>
      </c>
      <c r="C74" s="6" t="inlineStr">
        <is>
          <t>Supplier B</t>
        </is>
      </c>
      <c r="D74" s="7" t="n">
        <v>156.31</v>
      </c>
      <c r="E74" s="6" t="n">
        <v>5</v>
      </c>
      <c r="F74" s="6" t="n">
        <v>20</v>
      </c>
      <c r="G74" s="9" t="n">
        <v>1.27</v>
      </c>
      <c r="H74" s="8" t="n">
        <v>95.40000000000001</v>
      </c>
      <c r="I74" s="8">
        <f>MIN($D$73:$D$75)/D74*100</f>
        <v/>
      </c>
      <c r="J74" s="8">
        <f>MIN($E$73:$E$75)/E74*100</f>
        <v/>
      </c>
      <c r="K74" s="8">
        <f>MIN($G$73:$G$75)/G74*100</f>
        <v/>
      </c>
      <c r="L74" s="8">
        <f>H74</f>
        <v/>
      </c>
      <c r="M74" s="8">
        <f>I74*40%+J74*25%+K74*20%+L74*15%</f>
        <v/>
      </c>
      <c r="N74" s="6">
        <f>RANK(M74,$M$73:$M$75,0)</f>
        <v/>
      </c>
    </row>
    <row r="75">
      <c r="A75" s="6" t="inlineStr">
        <is>
          <t>SKU024</t>
        </is>
      </c>
      <c r="B75" s="6" t="inlineStr">
        <is>
          <t>Sticky Notes</t>
        </is>
      </c>
      <c r="C75" s="6" t="inlineStr">
        <is>
          <t>Supplier C</t>
        </is>
      </c>
      <c r="D75" s="7" t="n">
        <v>163.79</v>
      </c>
      <c r="E75" s="6" t="n">
        <v>4</v>
      </c>
      <c r="F75" s="6" t="n">
        <v>50</v>
      </c>
      <c r="G75" s="9" t="n">
        <v>2.01</v>
      </c>
      <c r="H75" s="8" t="n">
        <v>93.3</v>
      </c>
      <c r="I75" s="8">
        <f>MIN($D$73:$D$75)/D75*100</f>
        <v/>
      </c>
      <c r="J75" s="8">
        <f>MIN($E$73:$E$75)/E75*100</f>
        <v/>
      </c>
      <c r="K75" s="8">
        <f>MIN($G$73:$G$75)/G75*100</f>
        <v/>
      </c>
      <c r="L75" s="8">
        <f>H75</f>
        <v/>
      </c>
      <c r="M75" s="8">
        <f>I75*40%+J75*25%+K75*20%+L75*15%</f>
        <v/>
      </c>
      <c r="N75" s="6">
        <f>RANK(M75,$M$73:$M$75,0)</f>
        <v/>
      </c>
    </row>
    <row r="76">
      <c r="A76" s="6" t="inlineStr">
        <is>
          <t>SKU025</t>
        </is>
      </c>
      <c r="B76" s="6" t="inlineStr">
        <is>
          <t>Desk Organizer</t>
        </is>
      </c>
      <c r="C76" s="6" t="inlineStr">
        <is>
          <t>Supplier A</t>
        </is>
      </c>
      <c r="D76" s="7" t="n">
        <v>301.42</v>
      </c>
      <c r="E76" s="6" t="n">
        <v>6</v>
      </c>
      <c r="F76" s="6" t="n">
        <v>50</v>
      </c>
      <c r="G76" s="9" t="n">
        <v>1.94</v>
      </c>
      <c r="H76" s="8" t="n">
        <v>96.40000000000001</v>
      </c>
      <c r="I76" s="8">
        <f>MIN($D$76:$D$78)/D76*100</f>
        <v/>
      </c>
      <c r="J76" s="8">
        <f>MIN($E$76:$E$78)/E76*100</f>
        <v/>
      </c>
      <c r="K76" s="8">
        <f>MIN($G$76:$G$78)/G76*100</f>
        <v/>
      </c>
      <c r="L76" s="8">
        <f>H76</f>
        <v/>
      </c>
      <c r="M76" s="8">
        <f>I76*40%+J76*25%+K76*20%+L76*15%</f>
        <v/>
      </c>
      <c r="N76" s="6">
        <f>RANK(M76,$M$76:$M$78,0)</f>
        <v/>
      </c>
    </row>
    <row r="77">
      <c r="A77" s="6" t="inlineStr">
        <is>
          <t>SKU025</t>
        </is>
      </c>
      <c r="B77" s="6" t="inlineStr">
        <is>
          <t>Desk Organizer</t>
        </is>
      </c>
      <c r="C77" s="6" t="inlineStr">
        <is>
          <t>Supplier B</t>
        </is>
      </c>
      <c r="D77" s="7" t="n">
        <v>349.15</v>
      </c>
      <c r="E77" s="6" t="n">
        <v>3</v>
      </c>
      <c r="F77" s="6" t="n">
        <v>50</v>
      </c>
      <c r="G77" s="9" t="n">
        <v>2.3</v>
      </c>
      <c r="H77" s="8" t="n">
        <v>98.7</v>
      </c>
      <c r="I77" s="8">
        <f>MIN($D$76:$D$78)/D77*100</f>
        <v/>
      </c>
      <c r="J77" s="8">
        <f>MIN($E$76:$E$78)/E77*100</f>
        <v/>
      </c>
      <c r="K77" s="8">
        <f>MIN($G$76:$G$78)/G77*100</f>
        <v/>
      </c>
      <c r="L77" s="8">
        <f>H77</f>
        <v/>
      </c>
      <c r="M77" s="8">
        <f>I77*40%+J77*25%+K77*20%+L77*15%</f>
        <v/>
      </c>
      <c r="N77" s="6">
        <f>RANK(M77,$M$76:$M$78,0)</f>
        <v/>
      </c>
    </row>
    <row r="78">
      <c r="A78" s="6" t="inlineStr">
        <is>
          <t>SKU025</t>
        </is>
      </c>
      <c r="B78" s="6" t="inlineStr">
        <is>
          <t>Desk Organizer</t>
        </is>
      </c>
      <c r="C78" s="6" t="inlineStr">
        <is>
          <t>Supplier C</t>
        </is>
      </c>
      <c r="D78" s="7" t="n">
        <v>290.88</v>
      </c>
      <c r="E78" s="6" t="n">
        <v>9</v>
      </c>
      <c r="F78" s="6" t="n">
        <v>50</v>
      </c>
      <c r="G78" s="9" t="n">
        <v>2.56</v>
      </c>
      <c r="H78" s="8" t="n">
        <v>95.90000000000001</v>
      </c>
      <c r="I78" s="8">
        <f>MIN($D$76:$D$78)/D78*100</f>
        <v/>
      </c>
      <c r="J78" s="8">
        <f>MIN($E$76:$E$78)/E78*100</f>
        <v/>
      </c>
      <c r="K78" s="8">
        <f>MIN($G$76:$G$78)/G78*100</f>
        <v/>
      </c>
      <c r="L78" s="8">
        <f>H78</f>
        <v/>
      </c>
      <c r="M78" s="8">
        <f>I78*40%+J78*25%+K78*20%+L78*15%</f>
        <v/>
      </c>
      <c r="N78" s="6">
        <f>RANK(M78,$M$76:$M$78,0)</f>
        <v/>
      </c>
    </row>
    <row r="79">
      <c r="A79" s="6" t="inlineStr">
        <is>
          <t>SKU026</t>
        </is>
      </c>
      <c r="B79" s="6" t="inlineStr">
        <is>
          <t>Fitness Towel</t>
        </is>
      </c>
      <c r="C79" s="6" t="inlineStr">
        <is>
          <t>Supplier A</t>
        </is>
      </c>
      <c r="D79" s="7" t="n">
        <v>727.97</v>
      </c>
      <c r="E79" s="6" t="n">
        <v>6</v>
      </c>
      <c r="F79" s="6" t="n">
        <v>50</v>
      </c>
      <c r="G79" s="9" t="n">
        <v>1.22</v>
      </c>
      <c r="H79" s="8" t="n">
        <v>91.90000000000001</v>
      </c>
      <c r="I79" s="8">
        <f>MIN($D$79:$D$81)/D79*100</f>
        <v/>
      </c>
      <c r="J79" s="8">
        <f>MIN($E$79:$E$81)/E79*100</f>
        <v/>
      </c>
      <c r="K79" s="8">
        <f>MIN($G$79:$G$81)/G79*100</f>
        <v/>
      </c>
      <c r="L79" s="8">
        <f>H79</f>
        <v/>
      </c>
      <c r="M79" s="8">
        <f>I79*40%+J79*25%+K79*20%+L79*15%</f>
        <v/>
      </c>
      <c r="N79" s="6">
        <f>RANK(M79,$M$79:$M$81,0)</f>
        <v/>
      </c>
    </row>
    <row r="80">
      <c r="A80" s="6" t="inlineStr">
        <is>
          <t>SKU026</t>
        </is>
      </c>
      <c r="B80" s="6" t="inlineStr">
        <is>
          <t>Fitness Towel</t>
        </is>
      </c>
      <c r="C80" s="6" t="inlineStr">
        <is>
          <t>Supplier B</t>
        </is>
      </c>
      <c r="D80" s="7" t="n">
        <v>577.66</v>
      </c>
      <c r="E80" s="6" t="n">
        <v>8</v>
      </c>
      <c r="F80" s="6" t="n">
        <v>50</v>
      </c>
      <c r="G80" s="9" t="n">
        <v>3.34</v>
      </c>
      <c r="H80" s="8" t="n">
        <v>97.3</v>
      </c>
      <c r="I80" s="8">
        <f>MIN($D$79:$D$81)/D80*100</f>
        <v/>
      </c>
      <c r="J80" s="8">
        <f>MIN($E$79:$E$81)/E80*100</f>
        <v/>
      </c>
      <c r="K80" s="8">
        <f>MIN($G$79:$G$81)/G80*100</f>
        <v/>
      </c>
      <c r="L80" s="8">
        <f>H80</f>
        <v/>
      </c>
      <c r="M80" s="8">
        <f>I80*40%+J80*25%+K80*20%+L80*15%</f>
        <v/>
      </c>
      <c r="N80" s="6">
        <f>RANK(M80,$M$79:$M$81,0)</f>
        <v/>
      </c>
    </row>
    <row r="81">
      <c r="A81" s="6" t="inlineStr">
        <is>
          <t>SKU026</t>
        </is>
      </c>
      <c r="B81" s="6" t="inlineStr">
        <is>
          <t>Fitness Towel</t>
        </is>
      </c>
      <c r="C81" s="6" t="inlineStr">
        <is>
          <t>Supplier C</t>
        </is>
      </c>
      <c r="D81" s="7" t="n">
        <v>751.3099999999999</v>
      </c>
      <c r="E81" s="6" t="n">
        <v>12</v>
      </c>
      <c r="F81" s="6" t="n">
        <v>10</v>
      </c>
      <c r="G81" s="9" t="n">
        <v>4.11</v>
      </c>
      <c r="H81" s="8" t="n">
        <v>94</v>
      </c>
      <c r="I81" s="8">
        <f>MIN($D$79:$D$81)/D81*100</f>
        <v/>
      </c>
      <c r="J81" s="8">
        <f>MIN($E$79:$E$81)/E81*100</f>
        <v/>
      </c>
      <c r="K81" s="8">
        <f>MIN($G$79:$G$81)/G81*100</f>
        <v/>
      </c>
      <c r="L81" s="8">
        <f>H81</f>
        <v/>
      </c>
      <c r="M81" s="8">
        <f>I81*40%+J81*25%+K81*20%+L81*15%</f>
        <v/>
      </c>
      <c r="N81" s="6">
        <f>RANK(M81,$M$79:$M$81,0)</f>
        <v/>
      </c>
    </row>
    <row r="82">
      <c r="A82" s="6" t="inlineStr">
        <is>
          <t>SKU027</t>
        </is>
      </c>
      <c r="B82" s="6" t="inlineStr">
        <is>
          <t>Reusable Bag</t>
        </is>
      </c>
      <c r="C82" s="6" t="inlineStr">
        <is>
          <t>Supplier A</t>
        </is>
      </c>
      <c r="D82" s="7" t="n">
        <v>269.72</v>
      </c>
      <c r="E82" s="6" t="n">
        <v>4</v>
      </c>
      <c r="F82" s="6" t="n">
        <v>50</v>
      </c>
      <c r="G82" s="9" t="n">
        <v>0.87</v>
      </c>
      <c r="H82" s="8" t="n">
        <v>92.2</v>
      </c>
      <c r="I82" s="8">
        <f>MIN($D$82:$D$84)/D82*100</f>
        <v/>
      </c>
      <c r="J82" s="8">
        <f>MIN($E$82:$E$84)/E82*100</f>
        <v/>
      </c>
      <c r="K82" s="8">
        <f>MIN($G$82:$G$84)/G82*100</f>
        <v/>
      </c>
      <c r="L82" s="8">
        <f>H82</f>
        <v/>
      </c>
      <c r="M82" s="8">
        <f>I82*40%+J82*25%+K82*20%+L82*15%</f>
        <v/>
      </c>
      <c r="N82" s="6">
        <f>RANK(M82,$M$82:$M$84,0)</f>
        <v/>
      </c>
    </row>
    <row r="83">
      <c r="A83" s="6" t="inlineStr">
        <is>
          <t>SKU027</t>
        </is>
      </c>
      <c r="B83" s="6" t="inlineStr">
        <is>
          <t>Reusable Bag</t>
        </is>
      </c>
      <c r="C83" s="6" t="inlineStr">
        <is>
          <t>Supplier B</t>
        </is>
      </c>
      <c r="D83" s="7" t="n">
        <v>223.77</v>
      </c>
      <c r="E83" s="6" t="n">
        <v>9</v>
      </c>
      <c r="F83" s="6" t="n">
        <v>25</v>
      </c>
      <c r="G83" s="9" t="n">
        <v>1.19</v>
      </c>
      <c r="H83" s="8" t="n">
        <v>90.40000000000001</v>
      </c>
      <c r="I83" s="8">
        <f>MIN($D$82:$D$84)/D83*100</f>
        <v/>
      </c>
      <c r="J83" s="8">
        <f>MIN($E$82:$E$84)/E83*100</f>
        <v/>
      </c>
      <c r="K83" s="8">
        <f>MIN($G$82:$G$84)/G83*100</f>
        <v/>
      </c>
      <c r="L83" s="8">
        <f>H83</f>
        <v/>
      </c>
      <c r="M83" s="8">
        <f>I83*40%+J83*25%+K83*20%+L83*15%</f>
        <v/>
      </c>
      <c r="N83" s="6">
        <f>RANK(M83,$M$82:$M$84,0)</f>
        <v/>
      </c>
    </row>
    <row r="84">
      <c r="A84" s="6" t="inlineStr">
        <is>
          <t>SKU027</t>
        </is>
      </c>
      <c r="B84" s="6" t="inlineStr">
        <is>
          <t>Reusable Bag</t>
        </is>
      </c>
      <c r="C84" s="6" t="inlineStr">
        <is>
          <t>Supplier C</t>
        </is>
      </c>
      <c r="D84" s="7" t="n">
        <v>277.09</v>
      </c>
      <c r="E84" s="6" t="n">
        <v>9</v>
      </c>
      <c r="F84" s="6" t="n">
        <v>25</v>
      </c>
      <c r="G84" s="9" t="n">
        <v>3.46</v>
      </c>
      <c r="H84" s="8" t="n">
        <v>97.2</v>
      </c>
      <c r="I84" s="8">
        <f>MIN($D$82:$D$84)/D84*100</f>
        <v/>
      </c>
      <c r="J84" s="8">
        <f>MIN($E$82:$E$84)/E84*100</f>
        <v/>
      </c>
      <c r="K84" s="8">
        <f>MIN($G$82:$G$84)/G84*100</f>
        <v/>
      </c>
      <c r="L84" s="8">
        <f>H84</f>
        <v/>
      </c>
      <c r="M84" s="8">
        <f>I84*40%+J84*25%+K84*20%+L84*15%</f>
        <v/>
      </c>
      <c r="N84" s="6">
        <f>RANK(M84,$M$82:$M$84,0)</f>
        <v/>
      </c>
    </row>
    <row r="85">
      <c r="A85" s="6" t="inlineStr">
        <is>
          <t>SKU028</t>
        </is>
      </c>
      <c r="B85" s="6" t="inlineStr">
        <is>
          <t>Drawer Dividers</t>
        </is>
      </c>
      <c r="C85" s="6" t="inlineStr">
        <is>
          <t>Supplier A</t>
        </is>
      </c>
      <c r="D85" s="7" t="n">
        <v>334.49</v>
      </c>
      <c r="E85" s="6" t="n">
        <v>4</v>
      </c>
      <c r="F85" s="6" t="n">
        <v>50</v>
      </c>
      <c r="G85" s="9" t="n">
        <v>0.38</v>
      </c>
      <c r="H85" s="8" t="n">
        <v>93.3</v>
      </c>
      <c r="I85" s="8">
        <f>MIN($D$85:$D$87)/D85*100</f>
        <v/>
      </c>
      <c r="J85" s="8">
        <f>MIN($E$85:$E$87)/E85*100</f>
        <v/>
      </c>
      <c r="K85" s="8">
        <f>MIN($G$85:$G$87)/G85*100</f>
        <v/>
      </c>
      <c r="L85" s="8">
        <f>H85</f>
        <v/>
      </c>
      <c r="M85" s="8">
        <f>I85*40%+J85*25%+K85*20%+L85*15%</f>
        <v/>
      </c>
      <c r="N85" s="6">
        <f>RANK(M85,$M$85:$M$87,0)</f>
        <v/>
      </c>
    </row>
    <row r="86">
      <c r="A86" s="6" t="inlineStr">
        <is>
          <t>SKU028</t>
        </is>
      </c>
      <c r="B86" s="6" t="inlineStr">
        <is>
          <t>Drawer Dividers</t>
        </is>
      </c>
      <c r="C86" s="6" t="inlineStr">
        <is>
          <t>Supplier B</t>
        </is>
      </c>
      <c r="D86" s="7" t="n">
        <v>412.99</v>
      </c>
      <c r="E86" s="6" t="n">
        <v>8</v>
      </c>
      <c r="F86" s="6" t="n">
        <v>20</v>
      </c>
      <c r="G86" s="9" t="n">
        <v>3.03</v>
      </c>
      <c r="H86" s="8" t="n">
        <v>96.5</v>
      </c>
      <c r="I86" s="8">
        <f>MIN($D$85:$D$87)/D86*100</f>
        <v/>
      </c>
      <c r="J86" s="8">
        <f>MIN($E$85:$E$87)/E86*100</f>
        <v/>
      </c>
      <c r="K86" s="8">
        <f>MIN($G$85:$G$87)/G86*100</f>
        <v/>
      </c>
      <c r="L86" s="8">
        <f>H86</f>
        <v/>
      </c>
      <c r="M86" s="8">
        <f>I86*40%+J86*25%+K86*20%+L86*15%</f>
        <v/>
      </c>
      <c r="N86" s="6">
        <f>RANK(M86,$M$85:$M$87,0)</f>
        <v/>
      </c>
    </row>
    <row r="87">
      <c r="A87" s="6" t="inlineStr">
        <is>
          <t>SKU028</t>
        </is>
      </c>
      <c r="B87" s="6" t="inlineStr">
        <is>
          <t>Drawer Dividers</t>
        </is>
      </c>
      <c r="C87" s="6" t="inlineStr">
        <is>
          <t>Supplier C</t>
        </is>
      </c>
      <c r="D87" s="7" t="n">
        <v>376.43</v>
      </c>
      <c r="E87" s="6" t="n">
        <v>3</v>
      </c>
      <c r="F87" s="6" t="n">
        <v>20</v>
      </c>
      <c r="G87" s="9" t="n">
        <v>1.14</v>
      </c>
      <c r="H87" s="8" t="n">
        <v>86.3</v>
      </c>
      <c r="I87" s="8">
        <f>MIN($D$85:$D$87)/D87*100</f>
        <v/>
      </c>
      <c r="J87" s="8">
        <f>MIN($E$85:$E$87)/E87*100</f>
        <v/>
      </c>
      <c r="K87" s="8">
        <f>MIN($G$85:$G$87)/G87*100</f>
        <v/>
      </c>
      <c r="L87" s="8">
        <f>H87</f>
        <v/>
      </c>
      <c r="M87" s="8">
        <f>I87*40%+J87*25%+K87*20%+L87*15%</f>
        <v/>
      </c>
      <c r="N87" s="6">
        <f>RANK(M87,$M$85:$M$87,0)</f>
        <v/>
      </c>
    </row>
    <row r="88">
      <c r="A88" s="6" t="inlineStr">
        <is>
          <t>SKU029</t>
        </is>
      </c>
      <c r="B88" s="6" t="inlineStr">
        <is>
          <t>Webcam Cover</t>
        </is>
      </c>
      <c r="C88" s="6" t="inlineStr">
        <is>
          <t>Supplier A</t>
        </is>
      </c>
      <c r="D88" s="7" t="n">
        <v>1388.57</v>
      </c>
      <c r="E88" s="6" t="n">
        <v>5</v>
      </c>
      <c r="F88" s="6" t="n">
        <v>50</v>
      </c>
      <c r="G88" s="9" t="n">
        <v>3.11</v>
      </c>
      <c r="H88" s="8" t="n">
        <v>93.59999999999999</v>
      </c>
      <c r="I88" s="8">
        <f>MIN($D$88:$D$90)/D88*100</f>
        <v/>
      </c>
      <c r="J88" s="8">
        <f>MIN($E$88:$E$90)/E88*100</f>
        <v/>
      </c>
      <c r="K88" s="8">
        <f>MIN($G$88:$G$90)/G88*100</f>
        <v/>
      </c>
      <c r="L88" s="8">
        <f>H88</f>
        <v/>
      </c>
      <c r="M88" s="8">
        <f>I88*40%+J88*25%+K88*20%+L88*15%</f>
        <v/>
      </c>
      <c r="N88" s="6">
        <f>RANK(M88,$M$88:$M$90,0)</f>
        <v/>
      </c>
    </row>
    <row r="89">
      <c r="A89" s="6" t="inlineStr">
        <is>
          <t>SKU029</t>
        </is>
      </c>
      <c r="B89" s="6" t="inlineStr">
        <is>
          <t>Webcam Cover</t>
        </is>
      </c>
      <c r="C89" s="6" t="inlineStr">
        <is>
          <t>Supplier B</t>
        </is>
      </c>
      <c r="D89" s="7" t="n">
        <v>1418.08</v>
      </c>
      <c r="E89" s="6" t="n">
        <v>7</v>
      </c>
      <c r="F89" s="6" t="n">
        <v>25</v>
      </c>
      <c r="G89" s="9" t="n">
        <v>1</v>
      </c>
      <c r="H89" s="8" t="n">
        <v>94.2</v>
      </c>
      <c r="I89" s="8">
        <f>MIN($D$88:$D$90)/D89*100</f>
        <v/>
      </c>
      <c r="J89" s="8">
        <f>MIN($E$88:$E$90)/E89*100</f>
        <v/>
      </c>
      <c r="K89" s="8">
        <f>MIN($G$88:$G$90)/G89*100</f>
        <v/>
      </c>
      <c r="L89" s="8">
        <f>H89</f>
        <v/>
      </c>
      <c r="M89" s="8">
        <f>I89*40%+J89*25%+K89*20%+L89*15%</f>
        <v/>
      </c>
      <c r="N89" s="6">
        <f>RANK(M89,$M$88:$M$90,0)</f>
        <v/>
      </c>
    </row>
    <row r="90">
      <c r="A90" s="6" t="inlineStr">
        <is>
          <t>SKU029</t>
        </is>
      </c>
      <c r="B90" s="6" t="inlineStr">
        <is>
          <t>Webcam Cover</t>
        </is>
      </c>
      <c r="C90" s="6" t="inlineStr">
        <is>
          <t>Supplier C</t>
        </is>
      </c>
      <c r="D90" s="7" t="n">
        <v>1656.57</v>
      </c>
      <c r="E90" s="6" t="n">
        <v>4</v>
      </c>
      <c r="F90" s="6" t="n">
        <v>20</v>
      </c>
      <c r="G90" s="9" t="n">
        <v>4.35</v>
      </c>
      <c r="H90" s="8" t="n">
        <v>87.5</v>
      </c>
      <c r="I90" s="8">
        <f>MIN($D$88:$D$90)/D90*100</f>
        <v/>
      </c>
      <c r="J90" s="8">
        <f>MIN($E$88:$E$90)/E90*100</f>
        <v/>
      </c>
      <c r="K90" s="8">
        <f>MIN($G$88:$G$90)/G90*100</f>
        <v/>
      </c>
      <c r="L90" s="8">
        <f>H90</f>
        <v/>
      </c>
      <c r="M90" s="8">
        <f>I90*40%+J90*25%+K90*20%+L90*15%</f>
        <v/>
      </c>
      <c r="N90" s="6">
        <f>RANK(M90,$M$88:$M$90,0)</f>
        <v/>
      </c>
    </row>
    <row r="91">
      <c r="A91" s="6" t="inlineStr">
        <is>
          <t>SKU030</t>
        </is>
      </c>
      <c r="B91" s="6" t="inlineStr">
        <is>
          <t>Pen Holder</t>
        </is>
      </c>
      <c r="C91" s="6" t="inlineStr">
        <is>
          <t>Supplier A</t>
        </is>
      </c>
      <c r="D91" s="7" t="n">
        <v>221.93</v>
      </c>
      <c r="E91" s="6" t="n">
        <v>7</v>
      </c>
      <c r="F91" s="6" t="n">
        <v>50</v>
      </c>
      <c r="G91" s="9" t="n">
        <v>1.97</v>
      </c>
      <c r="H91" s="8" t="n">
        <v>95.7</v>
      </c>
      <c r="I91" s="8">
        <f>MIN($D$91:$D$93)/D91*100</f>
        <v/>
      </c>
      <c r="J91" s="8">
        <f>MIN($E$91:$E$93)/E91*100</f>
        <v/>
      </c>
      <c r="K91" s="8">
        <f>MIN($G$91:$G$93)/G91*100</f>
        <v/>
      </c>
      <c r="L91" s="8">
        <f>H91</f>
        <v/>
      </c>
      <c r="M91" s="8">
        <f>I91*40%+J91*25%+K91*20%+L91*15%</f>
        <v/>
      </c>
      <c r="N91" s="6">
        <f>RANK(M91,$M$91:$M$93,0)</f>
        <v/>
      </c>
    </row>
    <row r="92">
      <c r="A92" s="6" t="inlineStr">
        <is>
          <t>SKU030</t>
        </is>
      </c>
      <c r="B92" s="6" t="inlineStr">
        <is>
          <t>Pen Holder</t>
        </is>
      </c>
      <c r="C92" s="6" t="inlineStr">
        <is>
          <t>Supplier B</t>
        </is>
      </c>
      <c r="D92" s="7" t="n">
        <v>225.7</v>
      </c>
      <c r="E92" s="6" t="n">
        <v>13</v>
      </c>
      <c r="F92" s="6" t="n">
        <v>20</v>
      </c>
      <c r="G92" s="9" t="n">
        <v>0.73</v>
      </c>
      <c r="H92" s="8" t="n">
        <v>96.40000000000001</v>
      </c>
      <c r="I92" s="8">
        <f>MIN($D$91:$D$93)/D92*100</f>
        <v/>
      </c>
      <c r="J92" s="8">
        <f>MIN($E$91:$E$93)/E92*100</f>
        <v/>
      </c>
      <c r="K92" s="8">
        <f>MIN($G$91:$G$93)/G92*100</f>
        <v/>
      </c>
      <c r="L92" s="8">
        <f>H92</f>
        <v/>
      </c>
      <c r="M92" s="8">
        <f>I92*40%+J92*25%+K92*20%+L92*15%</f>
        <v/>
      </c>
      <c r="N92" s="6">
        <f>RANK(M92,$M$91:$M$93,0)</f>
        <v/>
      </c>
    </row>
    <row r="93">
      <c r="A93" s="6" t="inlineStr">
        <is>
          <t>SKU030</t>
        </is>
      </c>
      <c r="B93" s="6" t="inlineStr">
        <is>
          <t>Pen Holder</t>
        </is>
      </c>
      <c r="C93" s="6" t="inlineStr">
        <is>
          <t>Supplier C</t>
        </is>
      </c>
      <c r="D93" s="7" t="n">
        <v>283.77</v>
      </c>
      <c r="E93" s="6" t="n">
        <v>12</v>
      </c>
      <c r="F93" s="6" t="n">
        <v>10</v>
      </c>
      <c r="G93" s="9" t="n">
        <v>3.64</v>
      </c>
      <c r="H93" s="8" t="n">
        <v>93.59999999999999</v>
      </c>
      <c r="I93" s="8">
        <f>MIN($D$91:$D$93)/D93*100</f>
        <v/>
      </c>
      <c r="J93" s="8">
        <f>MIN($E$91:$E$93)/E93*100</f>
        <v/>
      </c>
      <c r="K93" s="8">
        <f>MIN($G$91:$G$93)/G93*100</f>
        <v/>
      </c>
      <c r="L93" s="8">
        <f>H93</f>
        <v/>
      </c>
      <c r="M93" s="8">
        <f>I93*40%+J93*25%+K93*20%+L93*15%</f>
        <v/>
      </c>
      <c r="N93" s="6">
        <f>RANK(M93,$M$91:$M$93,0)</f>
        <v/>
      </c>
    </row>
  </sheetData>
  <mergeCells count="1">
    <mergeCell ref="A2:H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70" customWidth="1" min="3" max="3"/>
  </cols>
  <sheetData>
    <row r="1" ht="32" customHeight="1">
      <c r="A1" s="1" t="inlineStr">
        <is>
          <t>Cost &amp; Scenario Assumptions</t>
        </is>
      </c>
    </row>
    <row r="2" ht="25" customHeight="1">
      <c r="A2" s="2" t="inlineStr">
        <is>
          <t>Edit yellow cells to test different business conditions; values are illustrative, not industry benchmarks.</t>
        </is>
      </c>
    </row>
    <row r="3" ht="36" customHeight="1">
      <c r="A3" s="5" t="inlineStr">
        <is>
          <t>Assumption</t>
        </is>
      </c>
      <c r="B3" s="5" t="inlineStr">
        <is>
          <t>Value</t>
        </is>
      </c>
      <c r="C3" s="5" t="inlineStr">
        <is>
          <t>Unit / explanation</t>
        </is>
      </c>
    </row>
    <row r="4">
      <c r="A4" s="6" t="inlineStr">
        <is>
          <t>Annual holding cost rate</t>
        </is>
      </c>
      <c r="B4" s="10" t="n">
        <v>0.22</v>
      </c>
      <c r="C4" s="6" t="inlineStr">
        <is>
          <t>22% of average inventory value per year</t>
        </is>
      </c>
    </row>
    <row r="5">
      <c r="A5" s="6" t="inlineStr">
        <is>
          <t>Ordering cost per purchase order</t>
        </is>
      </c>
      <c r="B5" s="11" t="n">
        <v>450</v>
      </c>
      <c r="C5" s="6" t="inlineStr">
        <is>
          <t>₹ per order</t>
        </is>
      </c>
    </row>
    <row r="6">
      <c r="A6" s="6" t="inlineStr">
        <is>
          <t>Stockout penalty per unit</t>
        </is>
      </c>
      <c r="B6" s="11" t="n">
        <v>180</v>
      </c>
      <c r="C6" s="6" t="inlineStr">
        <is>
          <t>₹ per unmet unit; used only as a risk proxy</t>
        </is>
      </c>
    </row>
    <row r="7">
      <c r="A7" s="6" t="inlineStr">
        <is>
          <t>High-demand multiplier</t>
        </is>
      </c>
      <c r="B7" s="12" t="n">
        <v>1.3</v>
      </c>
      <c r="C7" s="6" t="inlineStr">
        <is>
          <t>1.30 means demand increases by 30%</t>
        </is>
      </c>
    </row>
    <row r="8">
      <c r="A8" s="6" t="inlineStr">
        <is>
          <t>Extra supplier delay</t>
        </is>
      </c>
      <c r="B8" s="12" t="n">
        <v>4</v>
      </c>
      <c r="C8" s="6" t="inlineStr">
        <is>
          <t>Additional days</t>
        </is>
      </c>
    </row>
    <row r="9">
      <c r="A9" s="6" t="inlineStr">
        <is>
          <t>Extra target stock cover</t>
        </is>
      </c>
      <c r="B9" s="12" t="n">
        <v>14</v>
      </c>
      <c r="C9" s="6" t="inlineStr">
        <is>
          <t>Days of demand beyond lead-time and safety stock</t>
        </is>
      </c>
    </row>
    <row r="10">
      <c r="A10" s="6" t="inlineStr">
        <is>
          <t>Planning horizon</t>
        </is>
      </c>
      <c r="B10" s="12" t="n">
        <v>30</v>
      </c>
      <c r="C10" s="6" t="inlineStr">
        <is>
          <t>Days used for illustrative scenario exposure</t>
        </is>
      </c>
    </row>
  </sheetData>
  <mergeCells count="1">
    <mergeCell ref="A2:H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3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7" customWidth="1" min="4" max="4"/>
    <col width="14" customWidth="1" min="5" max="5"/>
    <col width="16" customWidth="1" min="6" max="6"/>
    <col width="17" customWidth="1" min="7" max="7"/>
    <col width="14" customWidth="1" min="8" max="8"/>
    <col width="16" customWidth="1" min="9" max="9"/>
    <col width="18" customWidth="1" min="10" max="10"/>
    <col width="15" customWidth="1" min="11" max="11"/>
    <col width="24" customWidth="1" min="12" max="12"/>
    <col width="21" customWidth="1" min="13" max="13"/>
    <col width="18" customWidth="1" min="14" max="14"/>
    <col width="22" customWidth="1" min="15" max="15"/>
    <col width="14" customWidth="1" min="16" max="16"/>
    <col width="25" customWidth="1" min="17" max="17"/>
  </cols>
  <sheetData>
    <row r="1" ht="32" customHeight="1">
      <c r="A1" s="1" t="inlineStr">
        <is>
          <t>Replenishment Plan</t>
        </is>
      </c>
    </row>
    <row r="2" ht="25" customHeight="1">
      <c r="A2" s="2" t="inlineStr">
        <is>
          <t>Recommended quantities are model outputs. Check supplier MOQ and operational context before making a real order.</t>
        </is>
      </c>
    </row>
    <row r="3" ht="36" customHeight="1">
      <c r="A3" s="5" t="inlineStr">
        <is>
          <t>SKU</t>
        </is>
      </c>
      <c r="B3" s="5" t="inlineStr">
        <is>
          <t>Product</t>
        </is>
      </c>
      <c r="C3" s="5" t="inlineStr">
        <is>
          <t>Current Stock</t>
        </is>
      </c>
      <c r="D3" s="5" t="inlineStr">
        <is>
          <t>Daily Demand</t>
        </is>
      </c>
      <c r="E3" s="5" t="inlineStr">
        <is>
          <t>Lead Time</t>
        </is>
      </c>
      <c r="F3" s="5" t="inlineStr">
        <is>
          <t>Safety Stock</t>
        </is>
      </c>
      <c r="G3" s="5" t="inlineStr">
        <is>
          <t>Reorder Point</t>
        </is>
      </c>
      <c r="H3" s="5" t="inlineStr">
        <is>
          <t>Status</t>
        </is>
      </c>
      <c r="I3" s="5" t="inlineStr">
        <is>
          <t>Target Stock</t>
        </is>
      </c>
      <c r="J3" s="5" t="inlineStr">
        <is>
          <t>Base Order Qty</t>
        </is>
      </c>
      <c r="K3" s="5" t="inlineStr">
        <is>
          <t>Supplier MOQ</t>
        </is>
      </c>
      <c r="L3" s="5" t="inlineStr">
        <is>
          <t>MOQ-Adjusted Order Qty</t>
        </is>
      </c>
      <c r="M3" s="5" t="inlineStr">
        <is>
          <t>Recommended Supplier</t>
        </is>
      </c>
      <c r="N3" s="5" t="inlineStr">
        <is>
          <t>Unit Price (₹)</t>
        </is>
      </c>
      <c r="O3" s="5" t="inlineStr">
        <is>
          <t>Purchase Cost (₹)</t>
        </is>
      </c>
      <c r="P3" s="5" t="inlineStr">
        <is>
          <t>Order Count</t>
        </is>
      </c>
      <c r="Q3" s="5" t="inlineStr">
        <is>
          <t>Annual Holding Cost (₹)</t>
        </is>
      </c>
    </row>
    <row r="4">
      <c r="A4" s="6">
        <f>Inventory_Master!A4</f>
        <v/>
      </c>
      <c r="B4" s="6">
        <f>Inventory_Master!B4</f>
        <v/>
      </c>
      <c r="C4" s="6">
        <f>Inventory_Master!E4</f>
        <v/>
      </c>
      <c r="D4" s="6">
        <f>Inventory_Master!F4</f>
        <v/>
      </c>
      <c r="E4" s="6">
        <f>Inventory_Master!G4</f>
        <v/>
      </c>
      <c r="F4" s="6">
        <f>Inventory_Master!H4</f>
        <v/>
      </c>
      <c r="G4" s="6">
        <f>Inventory_Master!I4</f>
        <v/>
      </c>
      <c r="H4" s="6">
        <f>IF(C4&lt;=G4,"REORDER","OK")</f>
        <v/>
      </c>
      <c r="I4" s="6">
        <f>D4*E4+F4+D4*Cost_Assumptions!$B$9</f>
        <v/>
      </c>
      <c r="J4" s="6">
        <f>MAX(0,I4-C4)</f>
        <v/>
      </c>
      <c r="K4" s="6">
        <f>Inventory_Master!N4</f>
        <v/>
      </c>
      <c r="L4" s="6">
        <f>IF(J4=0,0,MAX(J4,K4))</f>
        <v/>
      </c>
      <c r="M4" s="6">
        <f>Inventory_Master!K4</f>
        <v/>
      </c>
      <c r="N4" s="7">
        <f>Inventory_Master!L4</f>
        <v/>
      </c>
      <c r="O4" s="7">
        <f>L4*N4</f>
        <v/>
      </c>
      <c r="P4" s="6">
        <f>IF(L4&gt;0,1,0)</f>
        <v/>
      </c>
      <c r="Q4" s="7">
        <f>C4*Inventory_Master!D4*Cost_Assumptions!$B$4</f>
        <v/>
      </c>
    </row>
    <row r="5">
      <c r="A5" s="6">
        <f>Inventory_Master!A5</f>
        <v/>
      </c>
      <c r="B5" s="6">
        <f>Inventory_Master!B5</f>
        <v/>
      </c>
      <c r="C5" s="6">
        <f>Inventory_Master!E5</f>
        <v/>
      </c>
      <c r="D5" s="6">
        <f>Inventory_Master!F5</f>
        <v/>
      </c>
      <c r="E5" s="6">
        <f>Inventory_Master!G5</f>
        <v/>
      </c>
      <c r="F5" s="6">
        <f>Inventory_Master!H5</f>
        <v/>
      </c>
      <c r="G5" s="6">
        <f>Inventory_Master!I5</f>
        <v/>
      </c>
      <c r="H5" s="6">
        <f>IF(C5&lt;=G5,"REORDER","OK")</f>
        <v/>
      </c>
      <c r="I5" s="6">
        <f>D5*E5+F5+D5*Cost_Assumptions!$B$9</f>
        <v/>
      </c>
      <c r="J5" s="6">
        <f>MAX(0,I5-C5)</f>
        <v/>
      </c>
      <c r="K5" s="6">
        <f>Inventory_Master!N5</f>
        <v/>
      </c>
      <c r="L5" s="6">
        <f>IF(J5=0,0,MAX(J5,K5))</f>
        <v/>
      </c>
      <c r="M5" s="6">
        <f>Inventory_Master!K5</f>
        <v/>
      </c>
      <c r="N5" s="7">
        <f>Inventory_Master!L5</f>
        <v/>
      </c>
      <c r="O5" s="7">
        <f>L5*N5</f>
        <v/>
      </c>
      <c r="P5" s="6">
        <f>IF(L5&gt;0,1,0)</f>
        <v/>
      </c>
      <c r="Q5" s="7">
        <f>C5*Inventory_Master!D5*Cost_Assumptions!$B$4</f>
        <v/>
      </c>
    </row>
    <row r="6">
      <c r="A6" s="6">
        <f>Inventory_Master!A6</f>
        <v/>
      </c>
      <c r="B6" s="6">
        <f>Inventory_Master!B6</f>
        <v/>
      </c>
      <c r="C6" s="6">
        <f>Inventory_Master!E6</f>
        <v/>
      </c>
      <c r="D6" s="6">
        <f>Inventory_Master!F6</f>
        <v/>
      </c>
      <c r="E6" s="6">
        <f>Inventory_Master!G6</f>
        <v/>
      </c>
      <c r="F6" s="6">
        <f>Inventory_Master!H6</f>
        <v/>
      </c>
      <c r="G6" s="6">
        <f>Inventory_Master!I6</f>
        <v/>
      </c>
      <c r="H6" s="6">
        <f>IF(C6&lt;=G6,"REORDER","OK")</f>
        <v/>
      </c>
      <c r="I6" s="6">
        <f>D6*E6+F6+D6*Cost_Assumptions!$B$9</f>
        <v/>
      </c>
      <c r="J6" s="6">
        <f>MAX(0,I6-C6)</f>
        <v/>
      </c>
      <c r="K6" s="6">
        <f>Inventory_Master!N6</f>
        <v/>
      </c>
      <c r="L6" s="6">
        <f>IF(J6=0,0,MAX(J6,K6))</f>
        <v/>
      </c>
      <c r="M6" s="6">
        <f>Inventory_Master!K6</f>
        <v/>
      </c>
      <c r="N6" s="7">
        <f>Inventory_Master!L6</f>
        <v/>
      </c>
      <c r="O6" s="7">
        <f>L6*N6</f>
        <v/>
      </c>
      <c r="P6" s="6">
        <f>IF(L6&gt;0,1,0)</f>
        <v/>
      </c>
      <c r="Q6" s="7">
        <f>C6*Inventory_Master!D6*Cost_Assumptions!$B$4</f>
        <v/>
      </c>
    </row>
    <row r="7">
      <c r="A7" s="6">
        <f>Inventory_Master!A7</f>
        <v/>
      </c>
      <c r="B7" s="6">
        <f>Inventory_Master!B7</f>
        <v/>
      </c>
      <c r="C7" s="6">
        <f>Inventory_Master!E7</f>
        <v/>
      </c>
      <c r="D7" s="6">
        <f>Inventory_Master!F7</f>
        <v/>
      </c>
      <c r="E7" s="6">
        <f>Inventory_Master!G7</f>
        <v/>
      </c>
      <c r="F7" s="6">
        <f>Inventory_Master!H7</f>
        <v/>
      </c>
      <c r="G7" s="6">
        <f>Inventory_Master!I7</f>
        <v/>
      </c>
      <c r="H7" s="6">
        <f>IF(C7&lt;=G7,"REORDER","OK")</f>
        <v/>
      </c>
      <c r="I7" s="6">
        <f>D7*E7+F7+D7*Cost_Assumptions!$B$9</f>
        <v/>
      </c>
      <c r="J7" s="6">
        <f>MAX(0,I7-C7)</f>
        <v/>
      </c>
      <c r="K7" s="6">
        <f>Inventory_Master!N7</f>
        <v/>
      </c>
      <c r="L7" s="6">
        <f>IF(J7=0,0,MAX(J7,K7))</f>
        <v/>
      </c>
      <c r="M7" s="6">
        <f>Inventory_Master!K7</f>
        <v/>
      </c>
      <c r="N7" s="7">
        <f>Inventory_Master!L7</f>
        <v/>
      </c>
      <c r="O7" s="7">
        <f>L7*N7</f>
        <v/>
      </c>
      <c r="P7" s="6">
        <f>IF(L7&gt;0,1,0)</f>
        <v/>
      </c>
      <c r="Q7" s="7">
        <f>C7*Inventory_Master!D7*Cost_Assumptions!$B$4</f>
        <v/>
      </c>
    </row>
    <row r="8">
      <c r="A8" s="6">
        <f>Inventory_Master!A8</f>
        <v/>
      </c>
      <c r="B8" s="6">
        <f>Inventory_Master!B8</f>
        <v/>
      </c>
      <c r="C8" s="6">
        <f>Inventory_Master!E8</f>
        <v/>
      </c>
      <c r="D8" s="6">
        <f>Inventory_Master!F8</f>
        <v/>
      </c>
      <c r="E8" s="6">
        <f>Inventory_Master!G8</f>
        <v/>
      </c>
      <c r="F8" s="6">
        <f>Inventory_Master!H8</f>
        <v/>
      </c>
      <c r="G8" s="6">
        <f>Inventory_Master!I8</f>
        <v/>
      </c>
      <c r="H8" s="6">
        <f>IF(C8&lt;=G8,"REORDER","OK")</f>
        <v/>
      </c>
      <c r="I8" s="6">
        <f>D8*E8+F8+D8*Cost_Assumptions!$B$9</f>
        <v/>
      </c>
      <c r="J8" s="6">
        <f>MAX(0,I8-C8)</f>
        <v/>
      </c>
      <c r="K8" s="6">
        <f>Inventory_Master!N8</f>
        <v/>
      </c>
      <c r="L8" s="6">
        <f>IF(J8=0,0,MAX(J8,K8))</f>
        <v/>
      </c>
      <c r="M8" s="6">
        <f>Inventory_Master!K8</f>
        <v/>
      </c>
      <c r="N8" s="7">
        <f>Inventory_Master!L8</f>
        <v/>
      </c>
      <c r="O8" s="7">
        <f>L8*N8</f>
        <v/>
      </c>
      <c r="P8" s="6">
        <f>IF(L8&gt;0,1,0)</f>
        <v/>
      </c>
      <c r="Q8" s="7">
        <f>C8*Inventory_Master!D8*Cost_Assumptions!$B$4</f>
        <v/>
      </c>
    </row>
    <row r="9">
      <c r="A9" s="6">
        <f>Inventory_Master!A9</f>
        <v/>
      </c>
      <c r="B9" s="6">
        <f>Inventory_Master!B9</f>
        <v/>
      </c>
      <c r="C9" s="6">
        <f>Inventory_Master!E9</f>
        <v/>
      </c>
      <c r="D9" s="6">
        <f>Inventory_Master!F9</f>
        <v/>
      </c>
      <c r="E9" s="6">
        <f>Inventory_Master!G9</f>
        <v/>
      </c>
      <c r="F9" s="6">
        <f>Inventory_Master!H9</f>
        <v/>
      </c>
      <c r="G9" s="6">
        <f>Inventory_Master!I9</f>
        <v/>
      </c>
      <c r="H9" s="6">
        <f>IF(C9&lt;=G9,"REORDER","OK")</f>
        <v/>
      </c>
      <c r="I9" s="6">
        <f>D9*E9+F9+D9*Cost_Assumptions!$B$9</f>
        <v/>
      </c>
      <c r="J9" s="6">
        <f>MAX(0,I9-C9)</f>
        <v/>
      </c>
      <c r="K9" s="6">
        <f>Inventory_Master!N9</f>
        <v/>
      </c>
      <c r="L9" s="6">
        <f>IF(J9=0,0,MAX(J9,K9))</f>
        <v/>
      </c>
      <c r="M9" s="6">
        <f>Inventory_Master!K9</f>
        <v/>
      </c>
      <c r="N9" s="7">
        <f>Inventory_Master!L9</f>
        <v/>
      </c>
      <c r="O9" s="7">
        <f>L9*N9</f>
        <v/>
      </c>
      <c r="P9" s="6">
        <f>IF(L9&gt;0,1,0)</f>
        <v/>
      </c>
      <c r="Q9" s="7">
        <f>C9*Inventory_Master!D9*Cost_Assumptions!$B$4</f>
        <v/>
      </c>
    </row>
    <row r="10">
      <c r="A10" s="6">
        <f>Inventory_Master!A10</f>
        <v/>
      </c>
      <c r="B10" s="6">
        <f>Inventory_Master!B10</f>
        <v/>
      </c>
      <c r="C10" s="6">
        <f>Inventory_Master!E10</f>
        <v/>
      </c>
      <c r="D10" s="6">
        <f>Inventory_Master!F10</f>
        <v/>
      </c>
      <c r="E10" s="6">
        <f>Inventory_Master!G10</f>
        <v/>
      </c>
      <c r="F10" s="6">
        <f>Inventory_Master!H10</f>
        <v/>
      </c>
      <c r="G10" s="6">
        <f>Inventory_Master!I10</f>
        <v/>
      </c>
      <c r="H10" s="6">
        <f>IF(C10&lt;=G10,"REORDER","OK")</f>
        <v/>
      </c>
      <c r="I10" s="6">
        <f>D10*E10+F10+D10*Cost_Assumptions!$B$9</f>
        <v/>
      </c>
      <c r="J10" s="6">
        <f>MAX(0,I10-C10)</f>
        <v/>
      </c>
      <c r="K10" s="6">
        <f>Inventory_Master!N10</f>
        <v/>
      </c>
      <c r="L10" s="6">
        <f>IF(J10=0,0,MAX(J10,K10))</f>
        <v/>
      </c>
      <c r="M10" s="6">
        <f>Inventory_Master!K10</f>
        <v/>
      </c>
      <c r="N10" s="7">
        <f>Inventory_Master!L10</f>
        <v/>
      </c>
      <c r="O10" s="7">
        <f>L10*N10</f>
        <v/>
      </c>
      <c r="P10" s="6">
        <f>IF(L10&gt;0,1,0)</f>
        <v/>
      </c>
      <c r="Q10" s="7">
        <f>C10*Inventory_Master!D10*Cost_Assumptions!$B$4</f>
        <v/>
      </c>
    </row>
    <row r="11">
      <c r="A11" s="6">
        <f>Inventory_Master!A11</f>
        <v/>
      </c>
      <c r="B11" s="6">
        <f>Inventory_Master!B11</f>
        <v/>
      </c>
      <c r="C11" s="6">
        <f>Inventory_Master!E11</f>
        <v/>
      </c>
      <c r="D11" s="6">
        <f>Inventory_Master!F11</f>
        <v/>
      </c>
      <c r="E11" s="6">
        <f>Inventory_Master!G11</f>
        <v/>
      </c>
      <c r="F11" s="6">
        <f>Inventory_Master!H11</f>
        <v/>
      </c>
      <c r="G11" s="6">
        <f>Inventory_Master!I11</f>
        <v/>
      </c>
      <c r="H11" s="6">
        <f>IF(C11&lt;=G11,"REORDER","OK")</f>
        <v/>
      </c>
      <c r="I11" s="6">
        <f>D11*E11+F11+D11*Cost_Assumptions!$B$9</f>
        <v/>
      </c>
      <c r="J11" s="6">
        <f>MAX(0,I11-C11)</f>
        <v/>
      </c>
      <c r="K11" s="6">
        <f>Inventory_Master!N11</f>
        <v/>
      </c>
      <c r="L11" s="6">
        <f>IF(J11=0,0,MAX(J11,K11))</f>
        <v/>
      </c>
      <c r="M11" s="6">
        <f>Inventory_Master!K11</f>
        <v/>
      </c>
      <c r="N11" s="7">
        <f>Inventory_Master!L11</f>
        <v/>
      </c>
      <c r="O11" s="7">
        <f>L11*N11</f>
        <v/>
      </c>
      <c r="P11" s="6">
        <f>IF(L11&gt;0,1,0)</f>
        <v/>
      </c>
      <c r="Q11" s="7">
        <f>C11*Inventory_Master!D11*Cost_Assumptions!$B$4</f>
        <v/>
      </c>
    </row>
    <row r="12">
      <c r="A12" s="6">
        <f>Inventory_Master!A12</f>
        <v/>
      </c>
      <c r="B12" s="6">
        <f>Inventory_Master!B12</f>
        <v/>
      </c>
      <c r="C12" s="6">
        <f>Inventory_Master!E12</f>
        <v/>
      </c>
      <c r="D12" s="6">
        <f>Inventory_Master!F12</f>
        <v/>
      </c>
      <c r="E12" s="6">
        <f>Inventory_Master!G12</f>
        <v/>
      </c>
      <c r="F12" s="6">
        <f>Inventory_Master!H12</f>
        <v/>
      </c>
      <c r="G12" s="6">
        <f>Inventory_Master!I12</f>
        <v/>
      </c>
      <c r="H12" s="6">
        <f>IF(C12&lt;=G12,"REORDER","OK")</f>
        <v/>
      </c>
      <c r="I12" s="6">
        <f>D12*E12+F12+D12*Cost_Assumptions!$B$9</f>
        <v/>
      </c>
      <c r="J12" s="6">
        <f>MAX(0,I12-C12)</f>
        <v/>
      </c>
      <c r="K12" s="6">
        <f>Inventory_Master!N12</f>
        <v/>
      </c>
      <c r="L12" s="6">
        <f>IF(J12=0,0,MAX(J12,K12))</f>
        <v/>
      </c>
      <c r="M12" s="6">
        <f>Inventory_Master!K12</f>
        <v/>
      </c>
      <c r="N12" s="7">
        <f>Inventory_Master!L12</f>
        <v/>
      </c>
      <c r="O12" s="7">
        <f>L12*N12</f>
        <v/>
      </c>
      <c r="P12" s="6">
        <f>IF(L12&gt;0,1,0)</f>
        <v/>
      </c>
      <c r="Q12" s="7">
        <f>C12*Inventory_Master!D12*Cost_Assumptions!$B$4</f>
        <v/>
      </c>
    </row>
    <row r="13">
      <c r="A13" s="6">
        <f>Inventory_Master!A13</f>
        <v/>
      </c>
      <c r="B13" s="6">
        <f>Inventory_Master!B13</f>
        <v/>
      </c>
      <c r="C13" s="6">
        <f>Inventory_Master!E13</f>
        <v/>
      </c>
      <c r="D13" s="6">
        <f>Inventory_Master!F13</f>
        <v/>
      </c>
      <c r="E13" s="6">
        <f>Inventory_Master!G13</f>
        <v/>
      </c>
      <c r="F13" s="6">
        <f>Inventory_Master!H13</f>
        <v/>
      </c>
      <c r="G13" s="6">
        <f>Inventory_Master!I13</f>
        <v/>
      </c>
      <c r="H13" s="6">
        <f>IF(C13&lt;=G13,"REORDER","OK")</f>
        <v/>
      </c>
      <c r="I13" s="6">
        <f>D13*E13+F13+D13*Cost_Assumptions!$B$9</f>
        <v/>
      </c>
      <c r="J13" s="6">
        <f>MAX(0,I13-C13)</f>
        <v/>
      </c>
      <c r="K13" s="6">
        <f>Inventory_Master!N13</f>
        <v/>
      </c>
      <c r="L13" s="6">
        <f>IF(J13=0,0,MAX(J13,K13))</f>
        <v/>
      </c>
      <c r="M13" s="6">
        <f>Inventory_Master!K13</f>
        <v/>
      </c>
      <c r="N13" s="7">
        <f>Inventory_Master!L13</f>
        <v/>
      </c>
      <c r="O13" s="7">
        <f>L13*N13</f>
        <v/>
      </c>
      <c r="P13" s="6">
        <f>IF(L13&gt;0,1,0)</f>
        <v/>
      </c>
      <c r="Q13" s="7">
        <f>C13*Inventory_Master!D13*Cost_Assumptions!$B$4</f>
        <v/>
      </c>
    </row>
    <row r="14">
      <c r="A14" s="6">
        <f>Inventory_Master!A14</f>
        <v/>
      </c>
      <c r="B14" s="6">
        <f>Inventory_Master!B14</f>
        <v/>
      </c>
      <c r="C14" s="6">
        <f>Inventory_Master!E14</f>
        <v/>
      </c>
      <c r="D14" s="6">
        <f>Inventory_Master!F14</f>
        <v/>
      </c>
      <c r="E14" s="6">
        <f>Inventory_Master!G14</f>
        <v/>
      </c>
      <c r="F14" s="6">
        <f>Inventory_Master!H14</f>
        <v/>
      </c>
      <c r="G14" s="6">
        <f>Inventory_Master!I14</f>
        <v/>
      </c>
      <c r="H14" s="6">
        <f>IF(C14&lt;=G14,"REORDER","OK")</f>
        <v/>
      </c>
      <c r="I14" s="6">
        <f>D14*E14+F14+D14*Cost_Assumptions!$B$9</f>
        <v/>
      </c>
      <c r="J14" s="6">
        <f>MAX(0,I14-C14)</f>
        <v/>
      </c>
      <c r="K14" s="6">
        <f>Inventory_Master!N14</f>
        <v/>
      </c>
      <c r="L14" s="6">
        <f>IF(J14=0,0,MAX(J14,K14))</f>
        <v/>
      </c>
      <c r="M14" s="6">
        <f>Inventory_Master!K14</f>
        <v/>
      </c>
      <c r="N14" s="7">
        <f>Inventory_Master!L14</f>
        <v/>
      </c>
      <c r="O14" s="7">
        <f>L14*N14</f>
        <v/>
      </c>
      <c r="P14" s="6">
        <f>IF(L14&gt;0,1,0)</f>
        <v/>
      </c>
      <c r="Q14" s="7">
        <f>C14*Inventory_Master!D14*Cost_Assumptions!$B$4</f>
        <v/>
      </c>
    </row>
    <row r="15">
      <c r="A15" s="6">
        <f>Inventory_Master!A15</f>
        <v/>
      </c>
      <c r="B15" s="6">
        <f>Inventory_Master!B15</f>
        <v/>
      </c>
      <c r="C15" s="6">
        <f>Inventory_Master!E15</f>
        <v/>
      </c>
      <c r="D15" s="6">
        <f>Inventory_Master!F15</f>
        <v/>
      </c>
      <c r="E15" s="6">
        <f>Inventory_Master!G15</f>
        <v/>
      </c>
      <c r="F15" s="6">
        <f>Inventory_Master!H15</f>
        <v/>
      </c>
      <c r="G15" s="6">
        <f>Inventory_Master!I15</f>
        <v/>
      </c>
      <c r="H15" s="6">
        <f>IF(C15&lt;=G15,"REORDER","OK")</f>
        <v/>
      </c>
      <c r="I15" s="6">
        <f>D15*E15+F15+D15*Cost_Assumptions!$B$9</f>
        <v/>
      </c>
      <c r="J15" s="6">
        <f>MAX(0,I15-C15)</f>
        <v/>
      </c>
      <c r="K15" s="6">
        <f>Inventory_Master!N15</f>
        <v/>
      </c>
      <c r="L15" s="6">
        <f>IF(J15=0,0,MAX(J15,K15))</f>
        <v/>
      </c>
      <c r="M15" s="6">
        <f>Inventory_Master!K15</f>
        <v/>
      </c>
      <c r="N15" s="7">
        <f>Inventory_Master!L15</f>
        <v/>
      </c>
      <c r="O15" s="7">
        <f>L15*N15</f>
        <v/>
      </c>
      <c r="P15" s="6">
        <f>IF(L15&gt;0,1,0)</f>
        <v/>
      </c>
      <c r="Q15" s="7">
        <f>C15*Inventory_Master!D15*Cost_Assumptions!$B$4</f>
        <v/>
      </c>
    </row>
    <row r="16">
      <c r="A16" s="6">
        <f>Inventory_Master!A16</f>
        <v/>
      </c>
      <c r="B16" s="6">
        <f>Inventory_Master!B16</f>
        <v/>
      </c>
      <c r="C16" s="6">
        <f>Inventory_Master!E16</f>
        <v/>
      </c>
      <c r="D16" s="6">
        <f>Inventory_Master!F16</f>
        <v/>
      </c>
      <c r="E16" s="6">
        <f>Inventory_Master!G16</f>
        <v/>
      </c>
      <c r="F16" s="6">
        <f>Inventory_Master!H16</f>
        <v/>
      </c>
      <c r="G16" s="6">
        <f>Inventory_Master!I16</f>
        <v/>
      </c>
      <c r="H16" s="6">
        <f>IF(C16&lt;=G16,"REORDER","OK")</f>
        <v/>
      </c>
      <c r="I16" s="6">
        <f>D16*E16+F16+D16*Cost_Assumptions!$B$9</f>
        <v/>
      </c>
      <c r="J16" s="6">
        <f>MAX(0,I16-C16)</f>
        <v/>
      </c>
      <c r="K16" s="6">
        <f>Inventory_Master!N16</f>
        <v/>
      </c>
      <c r="L16" s="6">
        <f>IF(J16=0,0,MAX(J16,K16))</f>
        <v/>
      </c>
      <c r="M16" s="6">
        <f>Inventory_Master!K16</f>
        <v/>
      </c>
      <c r="N16" s="7">
        <f>Inventory_Master!L16</f>
        <v/>
      </c>
      <c r="O16" s="7">
        <f>L16*N16</f>
        <v/>
      </c>
      <c r="P16" s="6">
        <f>IF(L16&gt;0,1,0)</f>
        <v/>
      </c>
      <c r="Q16" s="7">
        <f>C16*Inventory_Master!D16*Cost_Assumptions!$B$4</f>
        <v/>
      </c>
    </row>
    <row r="17">
      <c r="A17" s="6">
        <f>Inventory_Master!A17</f>
        <v/>
      </c>
      <c r="B17" s="6">
        <f>Inventory_Master!B17</f>
        <v/>
      </c>
      <c r="C17" s="6">
        <f>Inventory_Master!E17</f>
        <v/>
      </c>
      <c r="D17" s="6">
        <f>Inventory_Master!F17</f>
        <v/>
      </c>
      <c r="E17" s="6">
        <f>Inventory_Master!G17</f>
        <v/>
      </c>
      <c r="F17" s="6">
        <f>Inventory_Master!H17</f>
        <v/>
      </c>
      <c r="G17" s="6">
        <f>Inventory_Master!I17</f>
        <v/>
      </c>
      <c r="H17" s="6">
        <f>IF(C17&lt;=G17,"REORDER","OK")</f>
        <v/>
      </c>
      <c r="I17" s="6">
        <f>D17*E17+F17+D17*Cost_Assumptions!$B$9</f>
        <v/>
      </c>
      <c r="J17" s="6">
        <f>MAX(0,I17-C17)</f>
        <v/>
      </c>
      <c r="K17" s="6">
        <f>Inventory_Master!N17</f>
        <v/>
      </c>
      <c r="L17" s="6">
        <f>IF(J17=0,0,MAX(J17,K17))</f>
        <v/>
      </c>
      <c r="M17" s="6">
        <f>Inventory_Master!K17</f>
        <v/>
      </c>
      <c r="N17" s="7">
        <f>Inventory_Master!L17</f>
        <v/>
      </c>
      <c r="O17" s="7">
        <f>L17*N17</f>
        <v/>
      </c>
      <c r="P17" s="6">
        <f>IF(L17&gt;0,1,0)</f>
        <v/>
      </c>
      <c r="Q17" s="7">
        <f>C17*Inventory_Master!D17*Cost_Assumptions!$B$4</f>
        <v/>
      </c>
    </row>
    <row r="18">
      <c r="A18" s="6">
        <f>Inventory_Master!A18</f>
        <v/>
      </c>
      <c r="B18" s="6">
        <f>Inventory_Master!B18</f>
        <v/>
      </c>
      <c r="C18" s="6">
        <f>Inventory_Master!E18</f>
        <v/>
      </c>
      <c r="D18" s="6">
        <f>Inventory_Master!F18</f>
        <v/>
      </c>
      <c r="E18" s="6">
        <f>Inventory_Master!G18</f>
        <v/>
      </c>
      <c r="F18" s="6">
        <f>Inventory_Master!H18</f>
        <v/>
      </c>
      <c r="G18" s="6">
        <f>Inventory_Master!I18</f>
        <v/>
      </c>
      <c r="H18" s="6">
        <f>IF(C18&lt;=G18,"REORDER","OK")</f>
        <v/>
      </c>
      <c r="I18" s="6">
        <f>D18*E18+F18+D18*Cost_Assumptions!$B$9</f>
        <v/>
      </c>
      <c r="J18" s="6">
        <f>MAX(0,I18-C18)</f>
        <v/>
      </c>
      <c r="K18" s="6">
        <f>Inventory_Master!N18</f>
        <v/>
      </c>
      <c r="L18" s="6">
        <f>IF(J18=0,0,MAX(J18,K18))</f>
        <v/>
      </c>
      <c r="M18" s="6">
        <f>Inventory_Master!K18</f>
        <v/>
      </c>
      <c r="N18" s="7">
        <f>Inventory_Master!L18</f>
        <v/>
      </c>
      <c r="O18" s="7">
        <f>L18*N18</f>
        <v/>
      </c>
      <c r="P18" s="6">
        <f>IF(L18&gt;0,1,0)</f>
        <v/>
      </c>
      <c r="Q18" s="7">
        <f>C18*Inventory_Master!D18*Cost_Assumptions!$B$4</f>
        <v/>
      </c>
    </row>
    <row r="19">
      <c r="A19" s="6">
        <f>Inventory_Master!A19</f>
        <v/>
      </c>
      <c r="B19" s="6">
        <f>Inventory_Master!B19</f>
        <v/>
      </c>
      <c r="C19" s="6">
        <f>Inventory_Master!E19</f>
        <v/>
      </c>
      <c r="D19" s="6">
        <f>Inventory_Master!F19</f>
        <v/>
      </c>
      <c r="E19" s="6">
        <f>Inventory_Master!G19</f>
        <v/>
      </c>
      <c r="F19" s="6">
        <f>Inventory_Master!H19</f>
        <v/>
      </c>
      <c r="G19" s="6">
        <f>Inventory_Master!I19</f>
        <v/>
      </c>
      <c r="H19" s="6">
        <f>IF(C19&lt;=G19,"REORDER","OK")</f>
        <v/>
      </c>
      <c r="I19" s="6">
        <f>D19*E19+F19+D19*Cost_Assumptions!$B$9</f>
        <v/>
      </c>
      <c r="J19" s="6">
        <f>MAX(0,I19-C19)</f>
        <v/>
      </c>
      <c r="K19" s="6">
        <f>Inventory_Master!N19</f>
        <v/>
      </c>
      <c r="L19" s="6">
        <f>IF(J19=0,0,MAX(J19,K19))</f>
        <v/>
      </c>
      <c r="M19" s="6">
        <f>Inventory_Master!K19</f>
        <v/>
      </c>
      <c r="N19" s="7">
        <f>Inventory_Master!L19</f>
        <v/>
      </c>
      <c r="O19" s="7">
        <f>L19*N19</f>
        <v/>
      </c>
      <c r="P19" s="6">
        <f>IF(L19&gt;0,1,0)</f>
        <v/>
      </c>
      <c r="Q19" s="7">
        <f>C19*Inventory_Master!D19*Cost_Assumptions!$B$4</f>
        <v/>
      </c>
    </row>
    <row r="20">
      <c r="A20" s="6">
        <f>Inventory_Master!A20</f>
        <v/>
      </c>
      <c r="B20" s="6">
        <f>Inventory_Master!B20</f>
        <v/>
      </c>
      <c r="C20" s="6">
        <f>Inventory_Master!E20</f>
        <v/>
      </c>
      <c r="D20" s="6">
        <f>Inventory_Master!F20</f>
        <v/>
      </c>
      <c r="E20" s="6">
        <f>Inventory_Master!G20</f>
        <v/>
      </c>
      <c r="F20" s="6">
        <f>Inventory_Master!H20</f>
        <v/>
      </c>
      <c r="G20" s="6">
        <f>Inventory_Master!I20</f>
        <v/>
      </c>
      <c r="H20" s="6">
        <f>IF(C20&lt;=G20,"REORDER","OK")</f>
        <v/>
      </c>
      <c r="I20" s="6">
        <f>D20*E20+F20+D20*Cost_Assumptions!$B$9</f>
        <v/>
      </c>
      <c r="J20" s="6">
        <f>MAX(0,I20-C20)</f>
        <v/>
      </c>
      <c r="K20" s="6">
        <f>Inventory_Master!N20</f>
        <v/>
      </c>
      <c r="L20" s="6">
        <f>IF(J20=0,0,MAX(J20,K20))</f>
        <v/>
      </c>
      <c r="M20" s="6">
        <f>Inventory_Master!K20</f>
        <v/>
      </c>
      <c r="N20" s="7">
        <f>Inventory_Master!L20</f>
        <v/>
      </c>
      <c r="O20" s="7">
        <f>L20*N20</f>
        <v/>
      </c>
      <c r="P20" s="6">
        <f>IF(L20&gt;0,1,0)</f>
        <v/>
      </c>
      <c r="Q20" s="7">
        <f>C20*Inventory_Master!D20*Cost_Assumptions!$B$4</f>
        <v/>
      </c>
    </row>
    <row r="21">
      <c r="A21" s="6">
        <f>Inventory_Master!A21</f>
        <v/>
      </c>
      <c r="B21" s="6">
        <f>Inventory_Master!B21</f>
        <v/>
      </c>
      <c r="C21" s="6">
        <f>Inventory_Master!E21</f>
        <v/>
      </c>
      <c r="D21" s="6">
        <f>Inventory_Master!F21</f>
        <v/>
      </c>
      <c r="E21" s="6">
        <f>Inventory_Master!G21</f>
        <v/>
      </c>
      <c r="F21" s="6">
        <f>Inventory_Master!H21</f>
        <v/>
      </c>
      <c r="G21" s="6">
        <f>Inventory_Master!I21</f>
        <v/>
      </c>
      <c r="H21" s="6">
        <f>IF(C21&lt;=G21,"REORDER","OK")</f>
        <v/>
      </c>
      <c r="I21" s="6">
        <f>D21*E21+F21+D21*Cost_Assumptions!$B$9</f>
        <v/>
      </c>
      <c r="J21" s="6">
        <f>MAX(0,I21-C21)</f>
        <v/>
      </c>
      <c r="K21" s="6">
        <f>Inventory_Master!N21</f>
        <v/>
      </c>
      <c r="L21" s="6">
        <f>IF(J21=0,0,MAX(J21,K21))</f>
        <v/>
      </c>
      <c r="M21" s="6">
        <f>Inventory_Master!K21</f>
        <v/>
      </c>
      <c r="N21" s="7">
        <f>Inventory_Master!L21</f>
        <v/>
      </c>
      <c r="O21" s="7">
        <f>L21*N21</f>
        <v/>
      </c>
      <c r="P21" s="6">
        <f>IF(L21&gt;0,1,0)</f>
        <v/>
      </c>
      <c r="Q21" s="7">
        <f>C21*Inventory_Master!D21*Cost_Assumptions!$B$4</f>
        <v/>
      </c>
    </row>
    <row r="22">
      <c r="A22" s="6">
        <f>Inventory_Master!A22</f>
        <v/>
      </c>
      <c r="B22" s="6">
        <f>Inventory_Master!B22</f>
        <v/>
      </c>
      <c r="C22" s="6">
        <f>Inventory_Master!E22</f>
        <v/>
      </c>
      <c r="D22" s="6">
        <f>Inventory_Master!F22</f>
        <v/>
      </c>
      <c r="E22" s="6">
        <f>Inventory_Master!G22</f>
        <v/>
      </c>
      <c r="F22" s="6">
        <f>Inventory_Master!H22</f>
        <v/>
      </c>
      <c r="G22" s="6">
        <f>Inventory_Master!I22</f>
        <v/>
      </c>
      <c r="H22" s="6">
        <f>IF(C22&lt;=G22,"REORDER","OK")</f>
        <v/>
      </c>
      <c r="I22" s="6">
        <f>D22*E22+F22+D22*Cost_Assumptions!$B$9</f>
        <v/>
      </c>
      <c r="J22" s="6">
        <f>MAX(0,I22-C22)</f>
        <v/>
      </c>
      <c r="K22" s="6">
        <f>Inventory_Master!N22</f>
        <v/>
      </c>
      <c r="L22" s="6">
        <f>IF(J22=0,0,MAX(J22,K22))</f>
        <v/>
      </c>
      <c r="M22" s="6">
        <f>Inventory_Master!K22</f>
        <v/>
      </c>
      <c r="N22" s="7">
        <f>Inventory_Master!L22</f>
        <v/>
      </c>
      <c r="O22" s="7">
        <f>L22*N22</f>
        <v/>
      </c>
      <c r="P22" s="6">
        <f>IF(L22&gt;0,1,0)</f>
        <v/>
      </c>
      <c r="Q22" s="7">
        <f>C22*Inventory_Master!D22*Cost_Assumptions!$B$4</f>
        <v/>
      </c>
    </row>
    <row r="23">
      <c r="A23" s="6">
        <f>Inventory_Master!A23</f>
        <v/>
      </c>
      <c r="B23" s="6">
        <f>Inventory_Master!B23</f>
        <v/>
      </c>
      <c r="C23" s="6">
        <f>Inventory_Master!E23</f>
        <v/>
      </c>
      <c r="D23" s="6">
        <f>Inventory_Master!F23</f>
        <v/>
      </c>
      <c r="E23" s="6">
        <f>Inventory_Master!G23</f>
        <v/>
      </c>
      <c r="F23" s="6">
        <f>Inventory_Master!H23</f>
        <v/>
      </c>
      <c r="G23" s="6">
        <f>Inventory_Master!I23</f>
        <v/>
      </c>
      <c r="H23" s="6">
        <f>IF(C23&lt;=G23,"REORDER","OK")</f>
        <v/>
      </c>
      <c r="I23" s="6">
        <f>D23*E23+F23+D23*Cost_Assumptions!$B$9</f>
        <v/>
      </c>
      <c r="J23" s="6">
        <f>MAX(0,I23-C23)</f>
        <v/>
      </c>
      <c r="K23" s="6">
        <f>Inventory_Master!N23</f>
        <v/>
      </c>
      <c r="L23" s="6">
        <f>IF(J23=0,0,MAX(J23,K23))</f>
        <v/>
      </c>
      <c r="M23" s="6">
        <f>Inventory_Master!K23</f>
        <v/>
      </c>
      <c r="N23" s="7">
        <f>Inventory_Master!L23</f>
        <v/>
      </c>
      <c r="O23" s="7">
        <f>L23*N23</f>
        <v/>
      </c>
      <c r="P23" s="6">
        <f>IF(L23&gt;0,1,0)</f>
        <v/>
      </c>
      <c r="Q23" s="7">
        <f>C23*Inventory_Master!D23*Cost_Assumptions!$B$4</f>
        <v/>
      </c>
    </row>
    <row r="24">
      <c r="A24" s="6">
        <f>Inventory_Master!A24</f>
        <v/>
      </c>
      <c r="B24" s="6">
        <f>Inventory_Master!B24</f>
        <v/>
      </c>
      <c r="C24" s="6">
        <f>Inventory_Master!E24</f>
        <v/>
      </c>
      <c r="D24" s="6">
        <f>Inventory_Master!F24</f>
        <v/>
      </c>
      <c r="E24" s="6">
        <f>Inventory_Master!G24</f>
        <v/>
      </c>
      <c r="F24" s="6">
        <f>Inventory_Master!H24</f>
        <v/>
      </c>
      <c r="G24" s="6">
        <f>Inventory_Master!I24</f>
        <v/>
      </c>
      <c r="H24" s="6">
        <f>IF(C24&lt;=G24,"REORDER","OK")</f>
        <v/>
      </c>
      <c r="I24" s="6">
        <f>D24*E24+F24+D24*Cost_Assumptions!$B$9</f>
        <v/>
      </c>
      <c r="J24" s="6">
        <f>MAX(0,I24-C24)</f>
        <v/>
      </c>
      <c r="K24" s="6">
        <f>Inventory_Master!N24</f>
        <v/>
      </c>
      <c r="L24" s="6">
        <f>IF(J24=0,0,MAX(J24,K24))</f>
        <v/>
      </c>
      <c r="M24" s="6">
        <f>Inventory_Master!K24</f>
        <v/>
      </c>
      <c r="N24" s="7">
        <f>Inventory_Master!L24</f>
        <v/>
      </c>
      <c r="O24" s="7">
        <f>L24*N24</f>
        <v/>
      </c>
      <c r="P24" s="6">
        <f>IF(L24&gt;0,1,0)</f>
        <v/>
      </c>
      <c r="Q24" s="7">
        <f>C24*Inventory_Master!D24*Cost_Assumptions!$B$4</f>
        <v/>
      </c>
    </row>
    <row r="25">
      <c r="A25" s="6">
        <f>Inventory_Master!A25</f>
        <v/>
      </c>
      <c r="B25" s="6">
        <f>Inventory_Master!B25</f>
        <v/>
      </c>
      <c r="C25" s="6">
        <f>Inventory_Master!E25</f>
        <v/>
      </c>
      <c r="D25" s="6">
        <f>Inventory_Master!F25</f>
        <v/>
      </c>
      <c r="E25" s="6">
        <f>Inventory_Master!G25</f>
        <v/>
      </c>
      <c r="F25" s="6">
        <f>Inventory_Master!H25</f>
        <v/>
      </c>
      <c r="G25" s="6">
        <f>Inventory_Master!I25</f>
        <v/>
      </c>
      <c r="H25" s="6">
        <f>IF(C25&lt;=G25,"REORDER","OK")</f>
        <v/>
      </c>
      <c r="I25" s="6">
        <f>D25*E25+F25+D25*Cost_Assumptions!$B$9</f>
        <v/>
      </c>
      <c r="J25" s="6">
        <f>MAX(0,I25-C25)</f>
        <v/>
      </c>
      <c r="K25" s="6">
        <f>Inventory_Master!N25</f>
        <v/>
      </c>
      <c r="L25" s="6">
        <f>IF(J25=0,0,MAX(J25,K25))</f>
        <v/>
      </c>
      <c r="M25" s="6">
        <f>Inventory_Master!K25</f>
        <v/>
      </c>
      <c r="N25" s="7">
        <f>Inventory_Master!L25</f>
        <v/>
      </c>
      <c r="O25" s="7">
        <f>L25*N25</f>
        <v/>
      </c>
      <c r="P25" s="6">
        <f>IF(L25&gt;0,1,0)</f>
        <v/>
      </c>
      <c r="Q25" s="7">
        <f>C25*Inventory_Master!D25*Cost_Assumptions!$B$4</f>
        <v/>
      </c>
    </row>
    <row r="26">
      <c r="A26" s="6">
        <f>Inventory_Master!A26</f>
        <v/>
      </c>
      <c r="B26" s="6">
        <f>Inventory_Master!B26</f>
        <v/>
      </c>
      <c r="C26" s="6">
        <f>Inventory_Master!E26</f>
        <v/>
      </c>
      <c r="D26" s="6">
        <f>Inventory_Master!F26</f>
        <v/>
      </c>
      <c r="E26" s="6">
        <f>Inventory_Master!G26</f>
        <v/>
      </c>
      <c r="F26" s="6">
        <f>Inventory_Master!H26</f>
        <v/>
      </c>
      <c r="G26" s="6">
        <f>Inventory_Master!I26</f>
        <v/>
      </c>
      <c r="H26" s="6">
        <f>IF(C26&lt;=G26,"REORDER","OK")</f>
        <v/>
      </c>
      <c r="I26" s="6">
        <f>D26*E26+F26+D26*Cost_Assumptions!$B$9</f>
        <v/>
      </c>
      <c r="J26" s="6">
        <f>MAX(0,I26-C26)</f>
        <v/>
      </c>
      <c r="K26" s="6">
        <f>Inventory_Master!N26</f>
        <v/>
      </c>
      <c r="L26" s="6">
        <f>IF(J26=0,0,MAX(J26,K26))</f>
        <v/>
      </c>
      <c r="M26" s="6">
        <f>Inventory_Master!K26</f>
        <v/>
      </c>
      <c r="N26" s="7">
        <f>Inventory_Master!L26</f>
        <v/>
      </c>
      <c r="O26" s="7">
        <f>L26*N26</f>
        <v/>
      </c>
      <c r="P26" s="6">
        <f>IF(L26&gt;0,1,0)</f>
        <v/>
      </c>
      <c r="Q26" s="7">
        <f>C26*Inventory_Master!D26*Cost_Assumptions!$B$4</f>
        <v/>
      </c>
    </row>
    <row r="27">
      <c r="A27" s="6">
        <f>Inventory_Master!A27</f>
        <v/>
      </c>
      <c r="B27" s="6">
        <f>Inventory_Master!B27</f>
        <v/>
      </c>
      <c r="C27" s="6">
        <f>Inventory_Master!E27</f>
        <v/>
      </c>
      <c r="D27" s="6">
        <f>Inventory_Master!F27</f>
        <v/>
      </c>
      <c r="E27" s="6">
        <f>Inventory_Master!G27</f>
        <v/>
      </c>
      <c r="F27" s="6">
        <f>Inventory_Master!H27</f>
        <v/>
      </c>
      <c r="G27" s="6">
        <f>Inventory_Master!I27</f>
        <v/>
      </c>
      <c r="H27" s="6">
        <f>IF(C27&lt;=G27,"REORDER","OK")</f>
        <v/>
      </c>
      <c r="I27" s="6">
        <f>D27*E27+F27+D27*Cost_Assumptions!$B$9</f>
        <v/>
      </c>
      <c r="J27" s="6">
        <f>MAX(0,I27-C27)</f>
        <v/>
      </c>
      <c r="K27" s="6">
        <f>Inventory_Master!N27</f>
        <v/>
      </c>
      <c r="L27" s="6">
        <f>IF(J27=0,0,MAX(J27,K27))</f>
        <v/>
      </c>
      <c r="M27" s="6">
        <f>Inventory_Master!K27</f>
        <v/>
      </c>
      <c r="N27" s="7">
        <f>Inventory_Master!L27</f>
        <v/>
      </c>
      <c r="O27" s="7">
        <f>L27*N27</f>
        <v/>
      </c>
      <c r="P27" s="6">
        <f>IF(L27&gt;0,1,0)</f>
        <v/>
      </c>
      <c r="Q27" s="7">
        <f>C27*Inventory_Master!D27*Cost_Assumptions!$B$4</f>
        <v/>
      </c>
    </row>
    <row r="28">
      <c r="A28" s="6">
        <f>Inventory_Master!A28</f>
        <v/>
      </c>
      <c r="B28" s="6">
        <f>Inventory_Master!B28</f>
        <v/>
      </c>
      <c r="C28" s="6">
        <f>Inventory_Master!E28</f>
        <v/>
      </c>
      <c r="D28" s="6">
        <f>Inventory_Master!F28</f>
        <v/>
      </c>
      <c r="E28" s="6">
        <f>Inventory_Master!G28</f>
        <v/>
      </c>
      <c r="F28" s="6">
        <f>Inventory_Master!H28</f>
        <v/>
      </c>
      <c r="G28" s="6">
        <f>Inventory_Master!I28</f>
        <v/>
      </c>
      <c r="H28" s="6">
        <f>IF(C28&lt;=G28,"REORDER","OK")</f>
        <v/>
      </c>
      <c r="I28" s="6">
        <f>D28*E28+F28+D28*Cost_Assumptions!$B$9</f>
        <v/>
      </c>
      <c r="J28" s="6">
        <f>MAX(0,I28-C28)</f>
        <v/>
      </c>
      <c r="K28" s="6">
        <f>Inventory_Master!N28</f>
        <v/>
      </c>
      <c r="L28" s="6">
        <f>IF(J28=0,0,MAX(J28,K28))</f>
        <v/>
      </c>
      <c r="M28" s="6">
        <f>Inventory_Master!K28</f>
        <v/>
      </c>
      <c r="N28" s="7">
        <f>Inventory_Master!L28</f>
        <v/>
      </c>
      <c r="O28" s="7">
        <f>L28*N28</f>
        <v/>
      </c>
      <c r="P28" s="6">
        <f>IF(L28&gt;0,1,0)</f>
        <v/>
      </c>
      <c r="Q28" s="7">
        <f>C28*Inventory_Master!D28*Cost_Assumptions!$B$4</f>
        <v/>
      </c>
    </row>
    <row r="29">
      <c r="A29" s="6">
        <f>Inventory_Master!A29</f>
        <v/>
      </c>
      <c r="B29" s="6">
        <f>Inventory_Master!B29</f>
        <v/>
      </c>
      <c r="C29" s="6">
        <f>Inventory_Master!E29</f>
        <v/>
      </c>
      <c r="D29" s="6">
        <f>Inventory_Master!F29</f>
        <v/>
      </c>
      <c r="E29" s="6">
        <f>Inventory_Master!G29</f>
        <v/>
      </c>
      <c r="F29" s="6">
        <f>Inventory_Master!H29</f>
        <v/>
      </c>
      <c r="G29" s="6">
        <f>Inventory_Master!I29</f>
        <v/>
      </c>
      <c r="H29" s="6">
        <f>IF(C29&lt;=G29,"REORDER","OK")</f>
        <v/>
      </c>
      <c r="I29" s="6">
        <f>D29*E29+F29+D29*Cost_Assumptions!$B$9</f>
        <v/>
      </c>
      <c r="J29" s="6">
        <f>MAX(0,I29-C29)</f>
        <v/>
      </c>
      <c r="K29" s="6">
        <f>Inventory_Master!N29</f>
        <v/>
      </c>
      <c r="L29" s="6">
        <f>IF(J29=0,0,MAX(J29,K29))</f>
        <v/>
      </c>
      <c r="M29" s="6">
        <f>Inventory_Master!K29</f>
        <v/>
      </c>
      <c r="N29" s="7">
        <f>Inventory_Master!L29</f>
        <v/>
      </c>
      <c r="O29" s="7">
        <f>L29*N29</f>
        <v/>
      </c>
      <c r="P29" s="6">
        <f>IF(L29&gt;0,1,0)</f>
        <v/>
      </c>
      <c r="Q29" s="7">
        <f>C29*Inventory_Master!D29*Cost_Assumptions!$B$4</f>
        <v/>
      </c>
    </row>
    <row r="30">
      <c r="A30" s="6">
        <f>Inventory_Master!A30</f>
        <v/>
      </c>
      <c r="B30" s="6">
        <f>Inventory_Master!B30</f>
        <v/>
      </c>
      <c r="C30" s="6">
        <f>Inventory_Master!E30</f>
        <v/>
      </c>
      <c r="D30" s="6">
        <f>Inventory_Master!F30</f>
        <v/>
      </c>
      <c r="E30" s="6">
        <f>Inventory_Master!G30</f>
        <v/>
      </c>
      <c r="F30" s="6">
        <f>Inventory_Master!H30</f>
        <v/>
      </c>
      <c r="G30" s="6">
        <f>Inventory_Master!I30</f>
        <v/>
      </c>
      <c r="H30" s="6">
        <f>IF(C30&lt;=G30,"REORDER","OK")</f>
        <v/>
      </c>
      <c r="I30" s="6">
        <f>D30*E30+F30+D30*Cost_Assumptions!$B$9</f>
        <v/>
      </c>
      <c r="J30" s="6">
        <f>MAX(0,I30-C30)</f>
        <v/>
      </c>
      <c r="K30" s="6">
        <f>Inventory_Master!N30</f>
        <v/>
      </c>
      <c r="L30" s="6">
        <f>IF(J30=0,0,MAX(J30,K30))</f>
        <v/>
      </c>
      <c r="M30" s="6">
        <f>Inventory_Master!K30</f>
        <v/>
      </c>
      <c r="N30" s="7">
        <f>Inventory_Master!L30</f>
        <v/>
      </c>
      <c r="O30" s="7">
        <f>L30*N30</f>
        <v/>
      </c>
      <c r="P30" s="6">
        <f>IF(L30&gt;0,1,0)</f>
        <v/>
      </c>
      <c r="Q30" s="7">
        <f>C30*Inventory_Master!D30*Cost_Assumptions!$B$4</f>
        <v/>
      </c>
    </row>
    <row r="31">
      <c r="A31" s="6">
        <f>Inventory_Master!A31</f>
        <v/>
      </c>
      <c r="B31" s="6">
        <f>Inventory_Master!B31</f>
        <v/>
      </c>
      <c r="C31" s="6">
        <f>Inventory_Master!E31</f>
        <v/>
      </c>
      <c r="D31" s="6">
        <f>Inventory_Master!F31</f>
        <v/>
      </c>
      <c r="E31" s="6">
        <f>Inventory_Master!G31</f>
        <v/>
      </c>
      <c r="F31" s="6">
        <f>Inventory_Master!H31</f>
        <v/>
      </c>
      <c r="G31" s="6">
        <f>Inventory_Master!I31</f>
        <v/>
      </c>
      <c r="H31" s="6">
        <f>IF(C31&lt;=G31,"REORDER","OK")</f>
        <v/>
      </c>
      <c r="I31" s="6">
        <f>D31*E31+F31+D31*Cost_Assumptions!$B$9</f>
        <v/>
      </c>
      <c r="J31" s="6">
        <f>MAX(0,I31-C31)</f>
        <v/>
      </c>
      <c r="K31" s="6">
        <f>Inventory_Master!N31</f>
        <v/>
      </c>
      <c r="L31" s="6">
        <f>IF(J31=0,0,MAX(J31,K31))</f>
        <v/>
      </c>
      <c r="M31" s="6">
        <f>Inventory_Master!K31</f>
        <v/>
      </c>
      <c r="N31" s="7">
        <f>Inventory_Master!L31</f>
        <v/>
      </c>
      <c r="O31" s="7">
        <f>L31*N31</f>
        <v/>
      </c>
      <c r="P31" s="6">
        <f>IF(L31&gt;0,1,0)</f>
        <v/>
      </c>
      <c r="Q31" s="7">
        <f>C31*Inventory_Master!D31*Cost_Assumptions!$B$4</f>
        <v/>
      </c>
    </row>
    <row r="32">
      <c r="A32" s="6">
        <f>Inventory_Master!A32</f>
        <v/>
      </c>
      <c r="B32" s="6">
        <f>Inventory_Master!B32</f>
        <v/>
      </c>
      <c r="C32" s="6">
        <f>Inventory_Master!E32</f>
        <v/>
      </c>
      <c r="D32" s="6">
        <f>Inventory_Master!F32</f>
        <v/>
      </c>
      <c r="E32" s="6">
        <f>Inventory_Master!G32</f>
        <v/>
      </c>
      <c r="F32" s="6">
        <f>Inventory_Master!H32</f>
        <v/>
      </c>
      <c r="G32" s="6">
        <f>Inventory_Master!I32</f>
        <v/>
      </c>
      <c r="H32" s="6">
        <f>IF(C32&lt;=G32,"REORDER","OK")</f>
        <v/>
      </c>
      <c r="I32" s="6">
        <f>D32*E32+F32+D32*Cost_Assumptions!$B$9</f>
        <v/>
      </c>
      <c r="J32" s="6">
        <f>MAX(0,I32-C32)</f>
        <v/>
      </c>
      <c r="K32" s="6">
        <f>Inventory_Master!N32</f>
        <v/>
      </c>
      <c r="L32" s="6">
        <f>IF(J32=0,0,MAX(J32,K32))</f>
        <v/>
      </c>
      <c r="M32" s="6">
        <f>Inventory_Master!K32</f>
        <v/>
      </c>
      <c r="N32" s="7">
        <f>Inventory_Master!L32</f>
        <v/>
      </c>
      <c r="O32" s="7">
        <f>L32*N32</f>
        <v/>
      </c>
      <c r="P32" s="6">
        <f>IF(L32&gt;0,1,0)</f>
        <v/>
      </c>
      <c r="Q32" s="7">
        <f>C32*Inventory_Master!D32*Cost_Assumptions!$B$4</f>
        <v/>
      </c>
    </row>
    <row r="33">
      <c r="A33" s="6">
        <f>Inventory_Master!A33</f>
        <v/>
      </c>
      <c r="B33" s="6">
        <f>Inventory_Master!B33</f>
        <v/>
      </c>
      <c r="C33" s="6">
        <f>Inventory_Master!E33</f>
        <v/>
      </c>
      <c r="D33" s="6">
        <f>Inventory_Master!F33</f>
        <v/>
      </c>
      <c r="E33" s="6">
        <f>Inventory_Master!G33</f>
        <v/>
      </c>
      <c r="F33" s="6">
        <f>Inventory_Master!H33</f>
        <v/>
      </c>
      <c r="G33" s="6">
        <f>Inventory_Master!I33</f>
        <v/>
      </c>
      <c r="H33" s="6">
        <f>IF(C33&lt;=G33,"REORDER","OK")</f>
        <v/>
      </c>
      <c r="I33" s="6">
        <f>D33*E33+F33+D33*Cost_Assumptions!$B$9</f>
        <v/>
      </c>
      <c r="J33" s="6">
        <f>MAX(0,I33-C33)</f>
        <v/>
      </c>
      <c r="K33" s="6">
        <f>Inventory_Master!N33</f>
        <v/>
      </c>
      <c r="L33" s="6">
        <f>IF(J33=0,0,MAX(J33,K33))</f>
        <v/>
      </c>
      <c r="M33" s="6">
        <f>Inventory_Master!K33</f>
        <v/>
      </c>
      <c r="N33" s="7">
        <f>Inventory_Master!L33</f>
        <v/>
      </c>
      <c r="O33" s="7">
        <f>L33*N33</f>
        <v/>
      </c>
      <c r="P33" s="6">
        <f>IF(L33&gt;0,1,0)</f>
        <v/>
      </c>
      <c r="Q33" s="7">
        <f>C33*Inventory_Master!D33*Cost_Assumptions!$B$4</f>
        <v/>
      </c>
    </row>
  </sheetData>
  <mergeCells count="1">
    <mergeCell ref="A2:H2"/>
  </mergeCells>
  <conditionalFormatting sqref="H4:H33">
    <cfRule type="cellIs" priority="1" operator="equal" dxfId="0">
      <formula>"REORDER"</formula>
    </cfRule>
    <cfRule type="cellIs" priority="2" operator="equal" dxfId="1">
      <formula>"OK"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9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7" customWidth="1" min="4" max="4"/>
    <col width="19" customWidth="1" min="5" max="5"/>
    <col width="16" customWidth="1" min="6" max="6"/>
    <col width="25" customWidth="1" min="7" max="7"/>
    <col width="16" customWidth="1" min="8" max="8"/>
    <col width="24" customWidth="1" min="9" max="9"/>
    <col width="17" customWidth="1" min="10" max="10"/>
    <col width="30" customWidth="1" min="11" max="11"/>
    <col width="26" customWidth="1" min="12" max="12"/>
  </cols>
  <sheetData>
    <row r="1" ht="32" customHeight="1">
      <c r="A1" s="1" t="inlineStr">
        <is>
          <t>Scenario Analysis</t>
        </is>
      </c>
    </row>
    <row r="2" ht="25" customHeight="1">
      <c r="A2" s="2" t="inlineStr">
        <is>
          <t>Three scenarios per SKU. Suggested order quantity includes target stock cover and supplier MOQ.</t>
        </is>
      </c>
    </row>
    <row r="3" ht="36" customHeight="1">
      <c r="A3" s="5" t="inlineStr">
        <is>
          <t>SKU</t>
        </is>
      </c>
      <c r="B3" s="5" t="inlineStr">
        <is>
          <t>Product</t>
        </is>
      </c>
      <c r="C3" s="5" t="inlineStr">
        <is>
          <t>Scenario</t>
        </is>
      </c>
      <c r="D3" s="5" t="inlineStr">
        <is>
          <t>Daily Demand</t>
        </is>
      </c>
      <c r="E3" s="5" t="inlineStr">
        <is>
          <t>Lead Time (days)</t>
        </is>
      </c>
      <c r="F3" s="5" t="inlineStr">
        <is>
          <t>Safety Stock</t>
        </is>
      </c>
      <c r="G3" s="5" t="inlineStr">
        <is>
          <t>Scenario Reorder Point</t>
        </is>
      </c>
      <c r="H3" s="5" t="inlineStr">
        <is>
          <t>Current Stock</t>
        </is>
      </c>
      <c r="I3" s="5" t="inlineStr">
        <is>
          <t>Gap to Reorder Point</t>
        </is>
      </c>
      <c r="J3" s="5" t="inlineStr">
        <is>
          <t>Target Stock</t>
        </is>
      </c>
      <c r="K3" s="5" t="inlineStr">
        <is>
          <t>Suggested Order Qty (MOQ-adjusted)</t>
        </is>
      </c>
      <c r="L3" s="5" t="inlineStr">
        <is>
          <t>Estimated Purchase Cost (₹)</t>
        </is>
      </c>
    </row>
    <row r="4">
      <c r="A4" s="6">
        <f>Inventory_Master!A4</f>
        <v/>
      </c>
      <c r="B4" s="6">
        <f>Inventory_Master!B4</f>
        <v/>
      </c>
      <c r="C4" s="6" t="inlineStr">
        <is>
          <t>Baseline</t>
        </is>
      </c>
      <c r="D4" s="6">
        <f>Inventory_Master!F4</f>
        <v/>
      </c>
      <c r="E4" s="6">
        <f>Inventory_Master!G4</f>
        <v/>
      </c>
      <c r="F4" s="6">
        <f>Inventory_Master!H4</f>
        <v/>
      </c>
      <c r="G4" s="6">
        <f>D4*E4+F4</f>
        <v/>
      </c>
      <c r="H4" s="6">
        <f>Inventory_Master!E4</f>
        <v/>
      </c>
      <c r="I4" s="6">
        <f>MAX(0,G4-H4)</f>
        <v/>
      </c>
      <c r="J4" s="6">
        <f>D4*E4+F4+D4*Cost_Assumptions!$B$9</f>
        <v/>
      </c>
      <c r="K4" s="6">
        <f>IF(J4&lt;=H4,0,MAX(J4-H4,Inventory_Master!N4))</f>
        <v/>
      </c>
      <c r="L4" s="7">
        <f>K4*Inventory_Master!L4</f>
        <v/>
      </c>
    </row>
    <row r="5">
      <c r="A5" s="6">
        <f>Inventory_Master!A4</f>
        <v/>
      </c>
      <c r="B5" s="6">
        <f>Inventory_Master!B4</f>
        <v/>
      </c>
      <c r="C5" s="6" t="inlineStr">
        <is>
          <t>High Demand</t>
        </is>
      </c>
      <c r="D5" s="6">
        <f>Inventory_Master!F4*Cost_Assumptions!$B$7</f>
        <v/>
      </c>
      <c r="E5" s="6">
        <f>Inventory_Master!G4</f>
        <v/>
      </c>
      <c r="F5" s="6">
        <f>Inventory_Master!H4</f>
        <v/>
      </c>
      <c r="G5" s="6">
        <f>D5*E5+F5</f>
        <v/>
      </c>
      <c r="H5" s="6">
        <f>Inventory_Master!E4</f>
        <v/>
      </c>
      <c r="I5" s="6">
        <f>MAX(0,G5-H5)</f>
        <v/>
      </c>
      <c r="J5" s="6">
        <f>D5*E5+F5+D5*Cost_Assumptions!$B$9</f>
        <v/>
      </c>
      <c r="K5" s="6">
        <f>IF(J5&lt;=H5,0,MAX(J5-H5,Inventory_Master!N4))</f>
        <v/>
      </c>
      <c r="L5" s="7">
        <f>K5*Inventory_Master!L4</f>
        <v/>
      </c>
    </row>
    <row r="6">
      <c r="A6" s="6">
        <f>Inventory_Master!A4</f>
        <v/>
      </c>
      <c r="B6" s="6">
        <f>Inventory_Master!B4</f>
        <v/>
      </c>
      <c r="C6" s="6" t="inlineStr">
        <is>
          <t>Supplier Delay</t>
        </is>
      </c>
      <c r="D6" s="6">
        <f>Inventory_Master!F4</f>
        <v/>
      </c>
      <c r="E6" s="6">
        <f>Inventory_Master!G4+Cost_Assumptions!$B$8</f>
        <v/>
      </c>
      <c r="F6" s="6">
        <f>Inventory_Master!H4</f>
        <v/>
      </c>
      <c r="G6" s="6">
        <f>D6*E6+F6</f>
        <v/>
      </c>
      <c r="H6" s="6">
        <f>Inventory_Master!E4</f>
        <v/>
      </c>
      <c r="I6" s="6">
        <f>MAX(0,G6-H6)</f>
        <v/>
      </c>
      <c r="J6" s="6">
        <f>D6*E6+F6+D6*Cost_Assumptions!$B$9</f>
        <v/>
      </c>
      <c r="K6" s="6">
        <f>IF(J6&lt;=H6,0,MAX(J6-H6,Inventory_Master!N4))</f>
        <v/>
      </c>
      <c r="L6" s="7">
        <f>K6*Inventory_Master!L4</f>
        <v/>
      </c>
    </row>
    <row r="7">
      <c r="A7" s="6">
        <f>Inventory_Master!A5</f>
        <v/>
      </c>
      <c r="B7" s="6">
        <f>Inventory_Master!B5</f>
        <v/>
      </c>
      <c r="C7" s="6" t="inlineStr">
        <is>
          <t>Baseline</t>
        </is>
      </c>
      <c r="D7" s="6">
        <f>Inventory_Master!F5</f>
        <v/>
      </c>
      <c r="E7" s="6">
        <f>Inventory_Master!G5</f>
        <v/>
      </c>
      <c r="F7" s="6">
        <f>Inventory_Master!H5</f>
        <v/>
      </c>
      <c r="G7" s="6">
        <f>D7*E7+F7</f>
        <v/>
      </c>
      <c r="H7" s="6">
        <f>Inventory_Master!E5</f>
        <v/>
      </c>
      <c r="I7" s="6">
        <f>MAX(0,G7-H7)</f>
        <v/>
      </c>
      <c r="J7" s="6">
        <f>D7*E7+F7+D7*Cost_Assumptions!$B$9</f>
        <v/>
      </c>
      <c r="K7" s="6">
        <f>IF(J7&lt;=H7,0,MAX(J7-H7,Inventory_Master!N5))</f>
        <v/>
      </c>
      <c r="L7" s="7">
        <f>K7*Inventory_Master!L5</f>
        <v/>
      </c>
    </row>
    <row r="8">
      <c r="A8" s="6">
        <f>Inventory_Master!A5</f>
        <v/>
      </c>
      <c r="B8" s="6">
        <f>Inventory_Master!B5</f>
        <v/>
      </c>
      <c r="C8" s="6" t="inlineStr">
        <is>
          <t>High Demand</t>
        </is>
      </c>
      <c r="D8" s="6">
        <f>Inventory_Master!F5*Cost_Assumptions!$B$7</f>
        <v/>
      </c>
      <c r="E8" s="6">
        <f>Inventory_Master!G5</f>
        <v/>
      </c>
      <c r="F8" s="6">
        <f>Inventory_Master!H5</f>
        <v/>
      </c>
      <c r="G8" s="6">
        <f>D8*E8+F8</f>
        <v/>
      </c>
      <c r="H8" s="6">
        <f>Inventory_Master!E5</f>
        <v/>
      </c>
      <c r="I8" s="6">
        <f>MAX(0,G8-H8)</f>
        <v/>
      </c>
      <c r="J8" s="6">
        <f>D8*E8+F8+D8*Cost_Assumptions!$B$9</f>
        <v/>
      </c>
      <c r="K8" s="6">
        <f>IF(J8&lt;=H8,0,MAX(J8-H8,Inventory_Master!N5))</f>
        <v/>
      </c>
      <c r="L8" s="7">
        <f>K8*Inventory_Master!L5</f>
        <v/>
      </c>
    </row>
    <row r="9">
      <c r="A9" s="6">
        <f>Inventory_Master!A5</f>
        <v/>
      </c>
      <c r="B9" s="6">
        <f>Inventory_Master!B5</f>
        <v/>
      </c>
      <c r="C9" s="6" t="inlineStr">
        <is>
          <t>Supplier Delay</t>
        </is>
      </c>
      <c r="D9" s="6">
        <f>Inventory_Master!F5</f>
        <v/>
      </c>
      <c r="E9" s="6">
        <f>Inventory_Master!G5+Cost_Assumptions!$B$8</f>
        <v/>
      </c>
      <c r="F9" s="6">
        <f>Inventory_Master!H5</f>
        <v/>
      </c>
      <c r="G9" s="6">
        <f>D9*E9+F9</f>
        <v/>
      </c>
      <c r="H9" s="6">
        <f>Inventory_Master!E5</f>
        <v/>
      </c>
      <c r="I9" s="6">
        <f>MAX(0,G9-H9)</f>
        <v/>
      </c>
      <c r="J9" s="6">
        <f>D9*E9+F9+D9*Cost_Assumptions!$B$9</f>
        <v/>
      </c>
      <c r="K9" s="6">
        <f>IF(J9&lt;=H9,0,MAX(J9-H9,Inventory_Master!N5))</f>
        <v/>
      </c>
      <c r="L9" s="7">
        <f>K9*Inventory_Master!L5</f>
        <v/>
      </c>
    </row>
    <row r="10">
      <c r="A10" s="6">
        <f>Inventory_Master!A6</f>
        <v/>
      </c>
      <c r="B10" s="6">
        <f>Inventory_Master!B6</f>
        <v/>
      </c>
      <c r="C10" s="6" t="inlineStr">
        <is>
          <t>Baseline</t>
        </is>
      </c>
      <c r="D10" s="6">
        <f>Inventory_Master!F6</f>
        <v/>
      </c>
      <c r="E10" s="6">
        <f>Inventory_Master!G6</f>
        <v/>
      </c>
      <c r="F10" s="6">
        <f>Inventory_Master!H6</f>
        <v/>
      </c>
      <c r="G10" s="6">
        <f>D10*E10+F10</f>
        <v/>
      </c>
      <c r="H10" s="6">
        <f>Inventory_Master!E6</f>
        <v/>
      </c>
      <c r="I10" s="6">
        <f>MAX(0,G10-H10)</f>
        <v/>
      </c>
      <c r="J10" s="6">
        <f>D10*E10+F10+D10*Cost_Assumptions!$B$9</f>
        <v/>
      </c>
      <c r="K10" s="6">
        <f>IF(J10&lt;=H10,0,MAX(J10-H10,Inventory_Master!N6))</f>
        <v/>
      </c>
      <c r="L10" s="7">
        <f>K10*Inventory_Master!L6</f>
        <v/>
      </c>
    </row>
    <row r="11">
      <c r="A11" s="6">
        <f>Inventory_Master!A6</f>
        <v/>
      </c>
      <c r="B11" s="6">
        <f>Inventory_Master!B6</f>
        <v/>
      </c>
      <c r="C11" s="6" t="inlineStr">
        <is>
          <t>High Demand</t>
        </is>
      </c>
      <c r="D11" s="6">
        <f>Inventory_Master!F6*Cost_Assumptions!$B$7</f>
        <v/>
      </c>
      <c r="E11" s="6">
        <f>Inventory_Master!G6</f>
        <v/>
      </c>
      <c r="F11" s="6">
        <f>Inventory_Master!H6</f>
        <v/>
      </c>
      <c r="G11" s="6">
        <f>D11*E11+F11</f>
        <v/>
      </c>
      <c r="H11" s="6">
        <f>Inventory_Master!E6</f>
        <v/>
      </c>
      <c r="I11" s="6">
        <f>MAX(0,G11-H11)</f>
        <v/>
      </c>
      <c r="J11" s="6">
        <f>D11*E11+F11+D11*Cost_Assumptions!$B$9</f>
        <v/>
      </c>
      <c r="K11" s="6">
        <f>IF(J11&lt;=H11,0,MAX(J11-H11,Inventory_Master!N6))</f>
        <v/>
      </c>
      <c r="L11" s="7">
        <f>K11*Inventory_Master!L6</f>
        <v/>
      </c>
    </row>
    <row r="12">
      <c r="A12" s="6">
        <f>Inventory_Master!A6</f>
        <v/>
      </c>
      <c r="B12" s="6">
        <f>Inventory_Master!B6</f>
        <v/>
      </c>
      <c r="C12" s="6" t="inlineStr">
        <is>
          <t>Supplier Delay</t>
        </is>
      </c>
      <c r="D12" s="6">
        <f>Inventory_Master!F6</f>
        <v/>
      </c>
      <c r="E12" s="6">
        <f>Inventory_Master!G6+Cost_Assumptions!$B$8</f>
        <v/>
      </c>
      <c r="F12" s="6">
        <f>Inventory_Master!H6</f>
        <v/>
      </c>
      <c r="G12" s="6">
        <f>D12*E12+F12</f>
        <v/>
      </c>
      <c r="H12" s="6">
        <f>Inventory_Master!E6</f>
        <v/>
      </c>
      <c r="I12" s="6">
        <f>MAX(0,G12-H12)</f>
        <v/>
      </c>
      <c r="J12" s="6">
        <f>D12*E12+F12+D12*Cost_Assumptions!$B$9</f>
        <v/>
      </c>
      <c r="K12" s="6">
        <f>IF(J12&lt;=H12,0,MAX(J12-H12,Inventory_Master!N6))</f>
        <v/>
      </c>
      <c r="L12" s="7">
        <f>K12*Inventory_Master!L6</f>
        <v/>
      </c>
    </row>
    <row r="13">
      <c r="A13" s="6">
        <f>Inventory_Master!A7</f>
        <v/>
      </c>
      <c r="B13" s="6">
        <f>Inventory_Master!B7</f>
        <v/>
      </c>
      <c r="C13" s="6" t="inlineStr">
        <is>
          <t>Baseline</t>
        </is>
      </c>
      <c r="D13" s="6">
        <f>Inventory_Master!F7</f>
        <v/>
      </c>
      <c r="E13" s="6">
        <f>Inventory_Master!G7</f>
        <v/>
      </c>
      <c r="F13" s="6">
        <f>Inventory_Master!H7</f>
        <v/>
      </c>
      <c r="G13" s="6">
        <f>D13*E13+F13</f>
        <v/>
      </c>
      <c r="H13" s="6">
        <f>Inventory_Master!E7</f>
        <v/>
      </c>
      <c r="I13" s="6">
        <f>MAX(0,G13-H13)</f>
        <v/>
      </c>
      <c r="J13" s="6">
        <f>D13*E13+F13+D13*Cost_Assumptions!$B$9</f>
        <v/>
      </c>
      <c r="K13" s="6">
        <f>IF(J13&lt;=H13,0,MAX(J13-H13,Inventory_Master!N7))</f>
        <v/>
      </c>
      <c r="L13" s="7">
        <f>K13*Inventory_Master!L7</f>
        <v/>
      </c>
    </row>
    <row r="14">
      <c r="A14" s="6">
        <f>Inventory_Master!A7</f>
        <v/>
      </c>
      <c r="B14" s="6">
        <f>Inventory_Master!B7</f>
        <v/>
      </c>
      <c r="C14" s="6" t="inlineStr">
        <is>
          <t>High Demand</t>
        </is>
      </c>
      <c r="D14" s="6">
        <f>Inventory_Master!F7*Cost_Assumptions!$B$7</f>
        <v/>
      </c>
      <c r="E14" s="6">
        <f>Inventory_Master!G7</f>
        <v/>
      </c>
      <c r="F14" s="6">
        <f>Inventory_Master!H7</f>
        <v/>
      </c>
      <c r="G14" s="6">
        <f>D14*E14+F14</f>
        <v/>
      </c>
      <c r="H14" s="6">
        <f>Inventory_Master!E7</f>
        <v/>
      </c>
      <c r="I14" s="6">
        <f>MAX(0,G14-H14)</f>
        <v/>
      </c>
      <c r="J14" s="6">
        <f>D14*E14+F14+D14*Cost_Assumptions!$B$9</f>
        <v/>
      </c>
      <c r="K14" s="6">
        <f>IF(J14&lt;=H14,0,MAX(J14-H14,Inventory_Master!N7))</f>
        <v/>
      </c>
      <c r="L14" s="7">
        <f>K14*Inventory_Master!L7</f>
        <v/>
      </c>
    </row>
    <row r="15">
      <c r="A15" s="6">
        <f>Inventory_Master!A7</f>
        <v/>
      </c>
      <c r="B15" s="6">
        <f>Inventory_Master!B7</f>
        <v/>
      </c>
      <c r="C15" s="6" t="inlineStr">
        <is>
          <t>Supplier Delay</t>
        </is>
      </c>
      <c r="D15" s="6">
        <f>Inventory_Master!F7</f>
        <v/>
      </c>
      <c r="E15" s="6">
        <f>Inventory_Master!G7+Cost_Assumptions!$B$8</f>
        <v/>
      </c>
      <c r="F15" s="6">
        <f>Inventory_Master!H7</f>
        <v/>
      </c>
      <c r="G15" s="6">
        <f>D15*E15+F15</f>
        <v/>
      </c>
      <c r="H15" s="6">
        <f>Inventory_Master!E7</f>
        <v/>
      </c>
      <c r="I15" s="6">
        <f>MAX(0,G15-H15)</f>
        <v/>
      </c>
      <c r="J15" s="6">
        <f>D15*E15+F15+D15*Cost_Assumptions!$B$9</f>
        <v/>
      </c>
      <c r="K15" s="6">
        <f>IF(J15&lt;=H15,0,MAX(J15-H15,Inventory_Master!N7))</f>
        <v/>
      </c>
      <c r="L15" s="7">
        <f>K15*Inventory_Master!L7</f>
        <v/>
      </c>
    </row>
    <row r="16">
      <c r="A16" s="6">
        <f>Inventory_Master!A8</f>
        <v/>
      </c>
      <c r="B16" s="6">
        <f>Inventory_Master!B8</f>
        <v/>
      </c>
      <c r="C16" s="6" t="inlineStr">
        <is>
          <t>Baseline</t>
        </is>
      </c>
      <c r="D16" s="6">
        <f>Inventory_Master!F8</f>
        <v/>
      </c>
      <c r="E16" s="6">
        <f>Inventory_Master!G8</f>
        <v/>
      </c>
      <c r="F16" s="6">
        <f>Inventory_Master!H8</f>
        <v/>
      </c>
      <c r="G16" s="6">
        <f>D16*E16+F16</f>
        <v/>
      </c>
      <c r="H16" s="6">
        <f>Inventory_Master!E8</f>
        <v/>
      </c>
      <c r="I16" s="6">
        <f>MAX(0,G16-H16)</f>
        <v/>
      </c>
      <c r="J16" s="6">
        <f>D16*E16+F16+D16*Cost_Assumptions!$B$9</f>
        <v/>
      </c>
      <c r="K16" s="6">
        <f>IF(J16&lt;=H16,0,MAX(J16-H16,Inventory_Master!N8))</f>
        <v/>
      </c>
      <c r="L16" s="7">
        <f>K16*Inventory_Master!L8</f>
        <v/>
      </c>
    </row>
    <row r="17">
      <c r="A17" s="6">
        <f>Inventory_Master!A8</f>
        <v/>
      </c>
      <c r="B17" s="6">
        <f>Inventory_Master!B8</f>
        <v/>
      </c>
      <c r="C17" s="6" t="inlineStr">
        <is>
          <t>High Demand</t>
        </is>
      </c>
      <c r="D17" s="6">
        <f>Inventory_Master!F8*Cost_Assumptions!$B$7</f>
        <v/>
      </c>
      <c r="E17" s="6">
        <f>Inventory_Master!G8</f>
        <v/>
      </c>
      <c r="F17" s="6">
        <f>Inventory_Master!H8</f>
        <v/>
      </c>
      <c r="G17" s="6">
        <f>D17*E17+F17</f>
        <v/>
      </c>
      <c r="H17" s="6">
        <f>Inventory_Master!E8</f>
        <v/>
      </c>
      <c r="I17" s="6">
        <f>MAX(0,G17-H17)</f>
        <v/>
      </c>
      <c r="J17" s="6">
        <f>D17*E17+F17+D17*Cost_Assumptions!$B$9</f>
        <v/>
      </c>
      <c r="K17" s="6">
        <f>IF(J17&lt;=H17,0,MAX(J17-H17,Inventory_Master!N8))</f>
        <v/>
      </c>
      <c r="L17" s="7">
        <f>K17*Inventory_Master!L8</f>
        <v/>
      </c>
    </row>
    <row r="18">
      <c r="A18" s="6">
        <f>Inventory_Master!A8</f>
        <v/>
      </c>
      <c r="B18" s="6">
        <f>Inventory_Master!B8</f>
        <v/>
      </c>
      <c r="C18" s="6" t="inlineStr">
        <is>
          <t>Supplier Delay</t>
        </is>
      </c>
      <c r="D18" s="6">
        <f>Inventory_Master!F8</f>
        <v/>
      </c>
      <c r="E18" s="6">
        <f>Inventory_Master!G8+Cost_Assumptions!$B$8</f>
        <v/>
      </c>
      <c r="F18" s="6">
        <f>Inventory_Master!H8</f>
        <v/>
      </c>
      <c r="G18" s="6">
        <f>D18*E18+F18</f>
        <v/>
      </c>
      <c r="H18" s="6">
        <f>Inventory_Master!E8</f>
        <v/>
      </c>
      <c r="I18" s="6">
        <f>MAX(0,G18-H18)</f>
        <v/>
      </c>
      <c r="J18" s="6">
        <f>D18*E18+F18+D18*Cost_Assumptions!$B$9</f>
        <v/>
      </c>
      <c r="K18" s="6">
        <f>IF(J18&lt;=H18,0,MAX(J18-H18,Inventory_Master!N8))</f>
        <v/>
      </c>
      <c r="L18" s="7">
        <f>K18*Inventory_Master!L8</f>
        <v/>
      </c>
    </row>
    <row r="19">
      <c r="A19" s="6">
        <f>Inventory_Master!A9</f>
        <v/>
      </c>
      <c r="B19" s="6">
        <f>Inventory_Master!B9</f>
        <v/>
      </c>
      <c r="C19" s="6" t="inlineStr">
        <is>
          <t>Baseline</t>
        </is>
      </c>
      <c r="D19" s="6">
        <f>Inventory_Master!F9</f>
        <v/>
      </c>
      <c r="E19" s="6">
        <f>Inventory_Master!G9</f>
        <v/>
      </c>
      <c r="F19" s="6">
        <f>Inventory_Master!H9</f>
        <v/>
      </c>
      <c r="G19" s="6">
        <f>D19*E19+F19</f>
        <v/>
      </c>
      <c r="H19" s="6">
        <f>Inventory_Master!E9</f>
        <v/>
      </c>
      <c r="I19" s="6">
        <f>MAX(0,G19-H19)</f>
        <v/>
      </c>
      <c r="J19" s="6">
        <f>D19*E19+F19+D19*Cost_Assumptions!$B$9</f>
        <v/>
      </c>
      <c r="K19" s="6">
        <f>IF(J19&lt;=H19,0,MAX(J19-H19,Inventory_Master!N9))</f>
        <v/>
      </c>
      <c r="L19" s="7">
        <f>K19*Inventory_Master!L9</f>
        <v/>
      </c>
    </row>
    <row r="20">
      <c r="A20" s="6">
        <f>Inventory_Master!A9</f>
        <v/>
      </c>
      <c r="B20" s="6">
        <f>Inventory_Master!B9</f>
        <v/>
      </c>
      <c r="C20" s="6" t="inlineStr">
        <is>
          <t>High Demand</t>
        </is>
      </c>
      <c r="D20" s="6">
        <f>Inventory_Master!F9*Cost_Assumptions!$B$7</f>
        <v/>
      </c>
      <c r="E20" s="6">
        <f>Inventory_Master!G9</f>
        <v/>
      </c>
      <c r="F20" s="6">
        <f>Inventory_Master!H9</f>
        <v/>
      </c>
      <c r="G20" s="6">
        <f>D20*E20+F20</f>
        <v/>
      </c>
      <c r="H20" s="6">
        <f>Inventory_Master!E9</f>
        <v/>
      </c>
      <c r="I20" s="6">
        <f>MAX(0,G20-H20)</f>
        <v/>
      </c>
      <c r="J20" s="6">
        <f>D20*E20+F20+D20*Cost_Assumptions!$B$9</f>
        <v/>
      </c>
      <c r="K20" s="6">
        <f>IF(J20&lt;=H20,0,MAX(J20-H20,Inventory_Master!N9))</f>
        <v/>
      </c>
      <c r="L20" s="7">
        <f>K20*Inventory_Master!L9</f>
        <v/>
      </c>
    </row>
    <row r="21">
      <c r="A21" s="6">
        <f>Inventory_Master!A9</f>
        <v/>
      </c>
      <c r="B21" s="6">
        <f>Inventory_Master!B9</f>
        <v/>
      </c>
      <c r="C21" s="6" t="inlineStr">
        <is>
          <t>Supplier Delay</t>
        </is>
      </c>
      <c r="D21" s="6">
        <f>Inventory_Master!F9</f>
        <v/>
      </c>
      <c r="E21" s="6">
        <f>Inventory_Master!G9+Cost_Assumptions!$B$8</f>
        <v/>
      </c>
      <c r="F21" s="6">
        <f>Inventory_Master!H9</f>
        <v/>
      </c>
      <c r="G21" s="6">
        <f>D21*E21+F21</f>
        <v/>
      </c>
      <c r="H21" s="6">
        <f>Inventory_Master!E9</f>
        <v/>
      </c>
      <c r="I21" s="6">
        <f>MAX(0,G21-H21)</f>
        <v/>
      </c>
      <c r="J21" s="6">
        <f>D21*E21+F21+D21*Cost_Assumptions!$B$9</f>
        <v/>
      </c>
      <c r="K21" s="6">
        <f>IF(J21&lt;=H21,0,MAX(J21-H21,Inventory_Master!N9))</f>
        <v/>
      </c>
      <c r="L21" s="7">
        <f>K21*Inventory_Master!L9</f>
        <v/>
      </c>
    </row>
    <row r="22">
      <c r="A22" s="6">
        <f>Inventory_Master!A10</f>
        <v/>
      </c>
      <c r="B22" s="6">
        <f>Inventory_Master!B10</f>
        <v/>
      </c>
      <c r="C22" s="6" t="inlineStr">
        <is>
          <t>Baseline</t>
        </is>
      </c>
      <c r="D22" s="6">
        <f>Inventory_Master!F10</f>
        <v/>
      </c>
      <c r="E22" s="6">
        <f>Inventory_Master!G10</f>
        <v/>
      </c>
      <c r="F22" s="6">
        <f>Inventory_Master!H10</f>
        <v/>
      </c>
      <c r="G22" s="6">
        <f>D22*E22+F22</f>
        <v/>
      </c>
      <c r="H22" s="6">
        <f>Inventory_Master!E10</f>
        <v/>
      </c>
      <c r="I22" s="6">
        <f>MAX(0,G22-H22)</f>
        <v/>
      </c>
      <c r="J22" s="6">
        <f>D22*E22+F22+D22*Cost_Assumptions!$B$9</f>
        <v/>
      </c>
      <c r="K22" s="6">
        <f>IF(J22&lt;=H22,0,MAX(J22-H22,Inventory_Master!N10))</f>
        <v/>
      </c>
      <c r="L22" s="7">
        <f>K22*Inventory_Master!L10</f>
        <v/>
      </c>
    </row>
    <row r="23">
      <c r="A23" s="6">
        <f>Inventory_Master!A10</f>
        <v/>
      </c>
      <c r="B23" s="6">
        <f>Inventory_Master!B10</f>
        <v/>
      </c>
      <c r="C23" s="6" t="inlineStr">
        <is>
          <t>High Demand</t>
        </is>
      </c>
      <c r="D23" s="6">
        <f>Inventory_Master!F10*Cost_Assumptions!$B$7</f>
        <v/>
      </c>
      <c r="E23" s="6">
        <f>Inventory_Master!G10</f>
        <v/>
      </c>
      <c r="F23" s="6">
        <f>Inventory_Master!H10</f>
        <v/>
      </c>
      <c r="G23" s="6">
        <f>D23*E23+F23</f>
        <v/>
      </c>
      <c r="H23" s="6">
        <f>Inventory_Master!E10</f>
        <v/>
      </c>
      <c r="I23" s="6">
        <f>MAX(0,G23-H23)</f>
        <v/>
      </c>
      <c r="J23" s="6">
        <f>D23*E23+F23+D23*Cost_Assumptions!$B$9</f>
        <v/>
      </c>
      <c r="K23" s="6">
        <f>IF(J23&lt;=H23,0,MAX(J23-H23,Inventory_Master!N10))</f>
        <v/>
      </c>
      <c r="L23" s="7">
        <f>K23*Inventory_Master!L10</f>
        <v/>
      </c>
    </row>
    <row r="24">
      <c r="A24" s="6">
        <f>Inventory_Master!A10</f>
        <v/>
      </c>
      <c r="B24" s="6">
        <f>Inventory_Master!B10</f>
        <v/>
      </c>
      <c r="C24" s="6" t="inlineStr">
        <is>
          <t>Supplier Delay</t>
        </is>
      </c>
      <c r="D24" s="6">
        <f>Inventory_Master!F10</f>
        <v/>
      </c>
      <c r="E24" s="6">
        <f>Inventory_Master!G10+Cost_Assumptions!$B$8</f>
        <v/>
      </c>
      <c r="F24" s="6">
        <f>Inventory_Master!H10</f>
        <v/>
      </c>
      <c r="G24" s="6">
        <f>D24*E24+F24</f>
        <v/>
      </c>
      <c r="H24" s="6">
        <f>Inventory_Master!E10</f>
        <v/>
      </c>
      <c r="I24" s="6">
        <f>MAX(0,G24-H24)</f>
        <v/>
      </c>
      <c r="J24" s="6">
        <f>D24*E24+F24+D24*Cost_Assumptions!$B$9</f>
        <v/>
      </c>
      <c r="K24" s="6">
        <f>IF(J24&lt;=H24,0,MAX(J24-H24,Inventory_Master!N10))</f>
        <v/>
      </c>
      <c r="L24" s="7">
        <f>K24*Inventory_Master!L10</f>
        <v/>
      </c>
    </row>
    <row r="25">
      <c r="A25" s="6">
        <f>Inventory_Master!A11</f>
        <v/>
      </c>
      <c r="B25" s="6">
        <f>Inventory_Master!B11</f>
        <v/>
      </c>
      <c r="C25" s="6" t="inlineStr">
        <is>
          <t>Baseline</t>
        </is>
      </c>
      <c r="D25" s="6">
        <f>Inventory_Master!F11</f>
        <v/>
      </c>
      <c r="E25" s="6">
        <f>Inventory_Master!G11</f>
        <v/>
      </c>
      <c r="F25" s="6">
        <f>Inventory_Master!H11</f>
        <v/>
      </c>
      <c r="G25" s="6">
        <f>D25*E25+F25</f>
        <v/>
      </c>
      <c r="H25" s="6">
        <f>Inventory_Master!E11</f>
        <v/>
      </c>
      <c r="I25" s="6">
        <f>MAX(0,G25-H25)</f>
        <v/>
      </c>
      <c r="J25" s="6">
        <f>D25*E25+F25+D25*Cost_Assumptions!$B$9</f>
        <v/>
      </c>
      <c r="K25" s="6">
        <f>IF(J25&lt;=H25,0,MAX(J25-H25,Inventory_Master!N11))</f>
        <v/>
      </c>
      <c r="L25" s="7">
        <f>K25*Inventory_Master!L11</f>
        <v/>
      </c>
    </row>
    <row r="26">
      <c r="A26" s="6">
        <f>Inventory_Master!A11</f>
        <v/>
      </c>
      <c r="B26" s="6">
        <f>Inventory_Master!B11</f>
        <v/>
      </c>
      <c r="C26" s="6" t="inlineStr">
        <is>
          <t>High Demand</t>
        </is>
      </c>
      <c r="D26" s="6">
        <f>Inventory_Master!F11*Cost_Assumptions!$B$7</f>
        <v/>
      </c>
      <c r="E26" s="6">
        <f>Inventory_Master!G11</f>
        <v/>
      </c>
      <c r="F26" s="6">
        <f>Inventory_Master!H11</f>
        <v/>
      </c>
      <c r="G26" s="6">
        <f>D26*E26+F26</f>
        <v/>
      </c>
      <c r="H26" s="6">
        <f>Inventory_Master!E11</f>
        <v/>
      </c>
      <c r="I26" s="6">
        <f>MAX(0,G26-H26)</f>
        <v/>
      </c>
      <c r="J26" s="6">
        <f>D26*E26+F26+D26*Cost_Assumptions!$B$9</f>
        <v/>
      </c>
      <c r="K26" s="6">
        <f>IF(J26&lt;=H26,0,MAX(J26-H26,Inventory_Master!N11))</f>
        <v/>
      </c>
      <c r="L26" s="7">
        <f>K26*Inventory_Master!L11</f>
        <v/>
      </c>
    </row>
    <row r="27">
      <c r="A27" s="6">
        <f>Inventory_Master!A11</f>
        <v/>
      </c>
      <c r="B27" s="6">
        <f>Inventory_Master!B11</f>
        <v/>
      </c>
      <c r="C27" s="6" t="inlineStr">
        <is>
          <t>Supplier Delay</t>
        </is>
      </c>
      <c r="D27" s="6">
        <f>Inventory_Master!F11</f>
        <v/>
      </c>
      <c r="E27" s="6">
        <f>Inventory_Master!G11+Cost_Assumptions!$B$8</f>
        <v/>
      </c>
      <c r="F27" s="6">
        <f>Inventory_Master!H11</f>
        <v/>
      </c>
      <c r="G27" s="6">
        <f>D27*E27+F27</f>
        <v/>
      </c>
      <c r="H27" s="6">
        <f>Inventory_Master!E11</f>
        <v/>
      </c>
      <c r="I27" s="6">
        <f>MAX(0,G27-H27)</f>
        <v/>
      </c>
      <c r="J27" s="6">
        <f>D27*E27+F27+D27*Cost_Assumptions!$B$9</f>
        <v/>
      </c>
      <c r="K27" s="6">
        <f>IF(J27&lt;=H27,0,MAX(J27-H27,Inventory_Master!N11))</f>
        <v/>
      </c>
      <c r="L27" s="7">
        <f>K27*Inventory_Master!L11</f>
        <v/>
      </c>
    </row>
    <row r="28">
      <c r="A28" s="6">
        <f>Inventory_Master!A12</f>
        <v/>
      </c>
      <c r="B28" s="6">
        <f>Inventory_Master!B12</f>
        <v/>
      </c>
      <c r="C28" s="6" t="inlineStr">
        <is>
          <t>Baseline</t>
        </is>
      </c>
      <c r="D28" s="6">
        <f>Inventory_Master!F12</f>
        <v/>
      </c>
      <c r="E28" s="6">
        <f>Inventory_Master!G12</f>
        <v/>
      </c>
      <c r="F28" s="6">
        <f>Inventory_Master!H12</f>
        <v/>
      </c>
      <c r="G28" s="6">
        <f>D28*E28+F28</f>
        <v/>
      </c>
      <c r="H28" s="6">
        <f>Inventory_Master!E12</f>
        <v/>
      </c>
      <c r="I28" s="6">
        <f>MAX(0,G28-H28)</f>
        <v/>
      </c>
      <c r="J28" s="6">
        <f>D28*E28+F28+D28*Cost_Assumptions!$B$9</f>
        <v/>
      </c>
      <c r="K28" s="6">
        <f>IF(J28&lt;=H28,0,MAX(J28-H28,Inventory_Master!N12))</f>
        <v/>
      </c>
      <c r="L28" s="7">
        <f>K28*Inventory_Master!L12</f>
        <v/>
      </c>
    </row>
    <row r="29">
      <c r="A29" s="6">
        <f>Inventory_Master!A12</f>
        <v/>
      </c>
      <c r="B29" s="6">
        <f>Inventory_Master!B12</f>
        <v/>
      </c>
      <c r="C29" s="6" t="inlineStr">
        <is>
          <t>High Demand</t>
        </is>
      </c>
      <c r="D29" s="6">
        <f>Inventory_Master!F12*Cost_Assumptions!$B$7</f>
        <v/>
      </c>
      <c r="E29" s="6">
        <f>Inventory_Master!G12</f>
        <v/>
      </c>
      <c r="F29" s="6">
        <f>Inventory_Master!H12</f>
        <v/>
      </c>
      <c r="G29" s="6">
        <f>D29*E29+F29</f>
        <v/>
      </c>
      <c r="H29" s="6">
        <f>Inventory_Master!E12</f>
        <v/>
      </c>
      <c r="I29" s="6">
        <f>MAX(0,G29-H29)</f>
        <v/>
      </c>
      <c r="J29" s="6">
        <f>D29*E29+F29+D29*Cost_Assumptions!$B$9</f>
        <v/>
      </c>
      <c r="K29" s="6">
        <f>IF(J29&lt;=H29,0,MAX(J29-H29,Inventory_Master!N12))</f>
        <v/>
      </c>
      <c r="L29" s="7">
        <f>K29*Inventory_Master!L12</f>
        <v/>
      </c>
    </row>
    <row r="30">
      <c r="A30" s="6">
        <f>Inventory_Master!A12</f>
        <v/>
      </c>
      <c r="B30" s="6">
        <f>Inventory_Master!B12</f>
        <v/>
      </c>
      <c r="C30" s="6" t="inlineStr">
        <is>
          <t>Supplier Delay</t>
        </is>
      </c>
      <c r="D30" s="6">
        <f>Inventory_Master!F12</f>
        <v/>
      </c>
      <c r="E30" s="6">
        <f>Inventory_Master!G12+Cost_Assumptions!$B$8</f>
        <v/>
      </c>
      <c r="F30" s="6">
        <f>Inventory_Master!H12</f>
        <v/>
      </c>
      <c r="G30" s="6">
        <f>D30*E30+F30</f>
        <v/>
      </c>
      <c r="H30" s="6">
        <f>Inventory_Master!E12</f>
        <v/>
      </c>
      <c r="I30" s="6">
        <f>MAX(0,G30-H30)</f>
        <v/>
      </c>
      <c r="J30" s="6">
        <f>D30*E30+F30+D30*Cost_Assumptions!$B$9</f>
        <v/>
      </c>
      <c r="K30" s="6">
        <f>IF(J30&lt;=H30,0,MAX(J30-H30,Inventory_Master!N12))</f>
        <v/>
      </c>
      <c r="L30" s="7">
        <f>K30*Inventory_Master!L12</f>
        <v/>
      </c>
    </row>
    <row r="31">
      <c r="A31" s="6">
        <f>Inventory_Master!A13</f>
        <v/>
      </c>
      <c r="B31" s="6">
        <f>Inventory_Master!B13</f>
        <v/>
      </c>
      <c r="C31" s="6" t="inlineStr">
        <is>
          <t>Baseline</t>
        </is>
      </c>
      <c r="D31" s="6">
        <f>Inventory_Master!F13</f>
        <v/>
      </c>
      <c r="E31" s="6">
        <f>Inventory_Master!G13</f>
        <v/>
      </c>
      <c r="F31" s="6">
        <f>Inventory_Master!H13</f>
        <v/>
      </c>
      <c r="G31" s="6">
        <f>D31*E31+F31</f>
        <v/>
      </c>
      <c r="H31" s="6">
        <f>Inventory_Master!E13</f>
        <v/>
      </c>
      <c r="I31" s="6">
        <f>MAX(0,G31-H31)</f>
        <v/>
      </c>
      <c r="J31" s="6">
        <f>D31*E31+F31+D31*Cost_Assumptions!$B$9</f>
        <v/>
      </c>
      <c r="K31" s="6">
        <f>IF(J31&lt;=H31,0,MAX(J31-H31,Inventory_Master!N13))</f>
        <v/>
      </c>
      <c r="L31" s="7">
        <f>K31*Inventory_Master!L13</f>
        <v/>
      </c>
    </row>
    <row r="32">
      <c r="A32" s="6">
        <f>Inventory_Master!A13</f>
        <v/>
      </c>
      <c r="B32" s="6">
        <f>Inventory_Master!B13</f>
        <v/>
      </c>
      <c r="C32" s="6" t="inlineStr">
        <is>
          <t>High Demand</t>
        </is>
      </c>
      <c r="D32" s="6">
        <f>Inventory_Master!F13*Cost_Assumptions!$B$7</f>
        <v/>
      </c>
      <c r="E32" s="6">
        <f>Inventory_Master!G13</f>
        <v/>
      </c>
      <c r="F32" s="6">
        <f>Inventory_Master!H13</f>
        <v/>
      </c>
      <c r="G32" s="6">
        <f>D32*E32+F32</f>
        <v/>
      </c>
      <c r="H32" s="6">
        <f>Inventory_Master!E13</f>
        <v/>
      </c>
      <c r="I32" s="6">
        <f>MAX(0,G32-H32)</f>
        <v/>
      </c>
      <c r="J32" s="6">
        <f>D32*E32+F32+D32*Cost_Assumptions!$B$9</f>
        <v/>
      </c>
      <c r="K32" s="6">
        <f>IF(J32&lt;=H32,0,MAX(J32-H32,Inventory_Master!N13))</f>
        <v/>
      </c>
      <c r="L32" s="7">
        <f>K32*Inventory_Master!L13</f>
        <v/>
      </c>
    </row>
    <row r="33">
      <c r="A33" s="6">
        <f>Inventory_Master!A13</f>
        <v/>
      </c>
      <c r="B33" s="6">
        <f>Inventory_Master!B13</f>
        <v/>
      </c>
      <c r="C33" s="6" t="inlineStr">
        <is>
          <t>Supplier Delay</t>
        </is>
      </c>
      <c r="D33" s="6">
        <f>Inventory_Master!F13</f>
        <v/>
      </c>
      <c r="E33" s="6">
        <f>Inventory_Master!G13+Cost_Assumptions!$B$8</f>
        <v/>
      </c>
      <c r="F33" s="6">
        <f>Inventory_Master!H13</f>
        <v/>
      </c>
      <c r="G33" s="6">
        <f>D33*E33+F33</f>
        <v/>
      </c>
      <c r="H33" s="6">
        <f>Inventory_Master!E13</f>
        <v/>
      </c>
      <c r="I33" s="6">
        <f>MAX(0,G33-H33)</f>
        <v/>
      </c>
      <c r="J33" s="6">
        <f>D33*E33+F33+D33*Cost_Assumptions!$B$9</f>
        <v/>
      </c>
      <c r="K33" s="6">
        <f>IF(J33&lt;=H33,0,MAX(J33-H33,Inventory_Master!N13))</f>
        <v/>
      </c>
      <c r="L33" s="7">
        <f>K33*Inventory_Master!L13</f>
        <v/>
      </c>
    </row>
    <row r="34">
      <c r="A34" s="6">
        <f>Inventory_Master!A14</f>
        <v/>
      </c>
      <c r="B34" s="6">
        <f>Inventory_Master!B14</f>
        <v/>
      </c>
      <c r="C34" s="6" t="inlineStr">
        <is>
          <t>Baseline</t>
        </is>
      </c>
      <c r="D34" s="6">
        <f>Inventory_Master!F14</f>
        <v/>
      </c>
      <c r="E34" s="6">
        <f>Inventory_Master!G14</f>
        <v/>
      </c>
      <c r="F34" s="6">
        <f>Inventory_Master!H14</f>
        <v/>
      </c>
      <c r="G34" s="6">
        <f>D34*E34+F34</f>
        <v/>
      </c>
      <c r="H34" s="6">
        <f>Inventory_Master!E14</f>
        <v/>
      </c>
      <c r="I34" s="6">
        <f>MAX(0,G34-H34)</f>
        <v/>
      </c>
      <c r="J34" s="6">
        <f>D34*E34+F34+D34*Cost_Assumptions!$B$9</f>
        <v/>
      </c>
      <c r="K34" s="6">
        <f>IF(J34&lt;=H34,0,MAX(J34-H34,Inventory_Master!N14))</f>
        <v/>
      </c>
      <c r="L34" s="7">
        <f>K34*Inventory_Master!L14</f>
        <v/>
      </c>
    </row>
    <row r="35">
      <c r="A35" s="6">
        <f>Inventory_Master!A14</f>
        <v/>
      </c>
      <c r="B35" s="6">
        <f>Inventory_Master!B14</f>
        <v/>
      </c>
      <c r="C35" s="6" t="inlineStr">
        <is>
          <t>High Demand</t>
        </is>
      </c>
      <c r="D35" s="6">
        <f>Inventory_Master!F14*Cost_Assumptions!$B$7</f>
        <v/>
      </c>
      <c r="E35" s="6">
        <f>Inventory_Master!G14</f>
        <v/>
      </c>
      <c r="F35" s="6">
        <f>Inventory_Master!H14</f>
        <v/>
      </c>
      <c r="G35" s="6">
        <f>D35*E35+F35</f>
        <v/>
      </c>
      <c r="H35" s="6">
        <f>Inventory_Master!E14</f>
        <v/>
      </c>
      <c r="I35" s="6">
        <f>MAX(0,G35-H35)</f>
        <v/>
      </c>
      <c r="J35" s="6">
        <f>D35*E35+F35+D35*Cost_Assumptions!$B$9</f>
        <v/>
      </c>
      <c r="K35" s="6">
        <f>IF(J35&lt;=H35,0,MAX(J35-H35,Inventory_Master!N14))</f>
        <v/>
      </c>
      <c r="L35" s="7">
        <f>K35*Inventory_Master!L14</f>
        <v/>
      </c>
    </row>
    <row r="36">
      <c r="A36" s="6">
        <f>Inventory_Master!A14</f>
        <v/>
      </c>
      <c r="B36" s="6">
        <f>Inventory_Master!B14</f>
        <v/>
      </c>
      <c r="C36" s="6" t="inlineStr">
        <is>
          <t>Supplier Delay</t>
        </is>
      </c>
      <c r="D36" s="6">
        <f>Inventory_Master!F14</f>
        <v/>
      </c>
      <c r="E36" s="6">
        <f>Inventory_Master!G14+Cost_Assumptions!$B$8</f>
        <v/>
      </c>
      <c r="F36" s="6">
        <f>Inventory_Master!H14</f>
        <v/>
      </c>
      <c r="G36" s="6">
        <f>D36*E36+F36</f>
        <v/>
      </c>
      <c r="H36" s="6">
        <f>Inventory_Master!E14</f>
        <v/>
      </c>
      <c r="I36" s="6">
        <f>MAX(0,G36-H36)</f>
        <v/>
      </c>
      <c r="J36" s="6">
        <f>D36*E36+F36+D36*Cost_Assumptions!$B$9</f>
        <v/>
      </c>
      <c r="K36" s="6">
        <f>IF(J36&lt;=H36,0,MAX(J36-H36,Inventory_Master!N14))</f>
        <v/>
      </c>
      <c r="L36" s="7">
        <f>K36*Inventory_Master!L14</f>
        <v/>
      </c>
    </row>
    <row r="37">
      <c r="A37" s="6">
        <f>Inventory_Master!A15</f>
        <v/>
      </c>
      <c r="B37" s="6">
        <f>Inventory_Master!B15</f>
        <v/>
      </c>
      <c r="C37" s="6" t="inlineStr">
        <is>
          <t>Baseline</t>
        </is>
      </c>
      <c r="D37" s="6">
        <f>Inventory_Master!F15</f>
        <v/>
      </c>
      <c r="E37" s="6">
        <f>Inventory_Master!G15</f>
        <v/>
      </c>
      <c r="F37" s="6">
        <f>Inventory_Master!H15</f>
        <v/>
      </c>
      <c r="G37" s="6">
        <f>D37*E37+F37</f>
        <v/>
      </c>
      <c r="H37" s="6">
        <f>Inventory_Master!E15</f>
        <v/>
      </c>
      <c r="I37" s="6">
        <f>MAX(0,G37-H37)</f>
        <v/>
      </c>
      <c r="J37" s="6">
        <f>D37*E37+F37+D37*Cost_Assumptions!$B$9</f>
        <v/>
      </c>
      <c r="K37" s="6">
        <f>IF(J37&lt;=H37,0,MAX(J37-H37,Inventory_Master!N15))</f>
        <v/>
      </c>
      <c r="L37" s="7">
        <f>K37*Inventory_Master!L15</f>
        <v/>
      </c>
    </row>
    <row r="38">
      <c r="A38" s="6">
        <f>Inventory_Master!A15</f>
        <v/>
      </c>
      <c r="B38" s="6">
        <f>Inventory_Master!B15</f>
        <v/>
      </c>
      <c r="C38" s="6" t="inlineStr">
        <is>
          <t>High Demand</t>
        </is>
      </c>
      <c r="D38" s="6">
        <f>Inventory_Master!F15*Cost_Assumptions!$B$7</f>
        <v/>
      </c>
      <c r="E38" s="6">
        <f>Inventory_Master!G15</f>
        <v/>
      </c>
      <c r="F38" s="6">
        <f>Inventory_Master!H15</f>
        <v/>
      </c>
      <c r="G38" s="6">
        <f>D38*E38+F38</f>
        <v/>
      </c>
      <c r="H38" s="6">
        <f>Inventory_Master!E15</f>
        <v/>
      </c>
      <c r="I38" s="6">
        <f>MAX(0,G38-H38)</f>
        <v/>
      </c>
      <c r="J38" s="6">
        <f>D38*E38+F38+D38*Cost_Assumptions!$B$9</f>
        <v/>
      </c>
      <c r="K38" s="6">
        <f>IF(J38&lt;=H38,0,MAX(J38-H38,Inventory_Master!N15))</f>
        <v/>
      </c>
      <c r="L38" s="7">
        <f>K38*Inventory_Master!L15</f>
        <v/>
      </c>
    </row>
    <row r="39">
      <c r="A39" s="6">
        <f>Inventory_Master!A15</f>
        <v/>
      </c>
      <c r="B39" s="6">
        <f>Inventory_Master!B15</f>
        <v/>
      </c>
      <c r="C39" s="6" t="inlineStr">
        <is>
          <t>Supplier Delay</t>
        </is>
      </c>
      <c r="D39" s="6">
        <f>Inventory_Master!F15</f>
        <v/>
      </c>
      <c r="E39" s="6">
        <f>Inventory_Master!G15+Cost_Assumptions!$B$8</f>
        <v/>
      </c>
      <c r="F39" s="6">
        <f>Inventory_Master!H15</f>
        <v/>
      </c>
      <c r="G39" s="6">
        <f>D39*E39+F39</f>
        <v/>
      </c>
      <c r="H39" s="6">
        <f>Inventory_Master!E15</f>
        <v/>
      </c>
      <c r="I39" s="6">
        <f>MAX(0,G39-H39)</f>
        <v/>
      </c>
      <c r="J39" s="6">
        <f>D39*E39+F39+D39*Cost_Assumptions!$B$9</f>
        <v/>
      </c>
      <c r="K39" s="6">
        <f>IF(J39&lt;=H39,0,MAX(J39-H39,Inventory_Master!N15))</f>
        <v/>
      </c>
      <c r="L39" s="7">
        <f>K39*Inventory_Master!L15</f>
        <v/>
      </c>
    </row>
    <row r="40">
      <c r="A40" s="6">
        <f>Inventory_Master!A16</f>
        <v/>
      </c>
      <c r="B40" s="6">
        <f>Inventory_Master!B16</f>
        <v/>
      </c>
      <c r="C40" s="6" t="inlineStr">
        <is>
          <t>Baseline</t>
        </is>
      </c>
      <c r="D40" s="6">
        <f>Inventory_Master!F16</f>
        <v/>
      </c>
      <c r="E40" s="6">
        <f>Inventory_Master!G16</f>
        <v/>
      </c>
      <c r="F40" s="6">
        <f>Inventory_Master!H16</f>
        <v/>
      </c>
      <c r="G40" s="6">
        <f>D40*E40+F40</f>
        <v/>
      </c>
      <c r="H40" s="6">
        <f>Inventory_Master!E16</f>
        <v/>
      </c>
      <c r="I40" s="6">
        <f>MAX(0,G40-H40)</f>
        <v/>
      </c>
      <c r="J40" s="6">
        <f>D40*E40+F40+D40*Cost_Assumptions!$B$9</f>
        <v/>
      </c>
      <c r="K40" s="6">
        <f>IF(J40&lt;=H40,0,MAX(J40-H40,Inventory_Master!N16))</f>
        <v/>
      </c>
      <c r="L40" s="7">
        <f>K40*Inventory_Master!L16</f>
        <v/>
      </c>
    </row>
    <row r="41">
      <c r="A41" s="6">
        <f>Inventory_Master!A16</f>
        <v/>
      </c>
      <c r="B41" s="6">
        <f>Inventory_Master!B16</f>
        <v/>
      </c>
      <c r="C41" s="6" t="inlineStr">
        <is>
          <t>High Demand</t>
        </is>
      </c>
      <c r="D41" s="6">
        <f>Inventory_Master!F16*Cost_Assumptions!$B$7</f>
        <v/>
      </c>
      <c r="E41" s="6">
        <f>Inventory_Master!G16</f>
        <v/>
      </c>
      <c r="F41" s="6">
        <f>Inventory_Master!H16</f>
        <v/>
      </c>
      <c r="G41" s="6">
        <f>D41*E41+F41</f>
        <v/>
      </c>
      <c r="H41" s="6">
        <f>Inventory_Master!E16</f>
        <v/>
      </c>
      <c r="I41" s="6">
        <f>MAX(0,G41-H41)</f>
        <v/>
      </c>
      <c r="J41" s="6">
        <f>D41*E41+F41+D41*Cost_Assumptions!$B$9</f>
        <v/>
      </c>
      <c r="K41" s="6">
        <f>IF(J41&lt;=H41,0,MAX(J41-H41,Inventory_Master!N16))</f>
        <v/>
      </c>
      <c r="L41" s="7">
        <f>K41*Inventory_Master!L16</f>
        <v/>
      </c>
    </row>
    <row r="42">
      <c r="A42" s="6">
        <f>Inventory_Master!A16</f>
        <v/>
      </c>
      <c r="B42" s="6">
        <f>Inventory_Master!B16</f>
        <v/>
      </c>
      <c r="C42" s="6" t="inlineStr">
        <is>
          <t>Supplier Delay</t>
        </is>
      </c>
      <c r="D42" s="6">
        <f>Inventory_Master!F16</f>
        <v/>
      </c>
      <c r="E42" s="6">
        <f>Inventory_Master!G16+Cost_Assumptions!$B$8</f>
        <v/>
      </c>
      <c r="F42" s="6">
        <f>Inventory_Master!H16</f>
        <v/>
      </c>
      <c r="G42" s="6">
        <f>D42*E42+F42</f>
        <v/>
      </c>
      <c r="H42" s="6">
        <f>Inventory_Master!E16</f>
        <v/>
      </c>
      <c r="I42" s="6">
        <f>MAX(0,G42-H42)</f>
        <v/>
      </c>
      <c r="J42" s="6">
        <f>D42*E42+F42+D42*Cost_Assumptions!$B$9</f>
        <v/>
      </c>
      <c r="K42" s="6">
        <f>IF(J42&lt;=H42,0,MAX(J42-H42,Inventory_Master!N16))</f>
        <v/>
      </c>
      <c r="L42" s="7">
        <f>K42*Inventory_Master!L16</f>
        <v/>
      </c>
    </row>
    <row r="43">
      <c r="A43" s="6">
        <f>Inventory_Master!A17</f>
        <v/>
      </c>
      <c r="B43" s="6">
        <f>Inventory_Master!B17</f>
        <v/>
      </c>
      <c r="C43" s="6" t="inlineStr">
        <is>
          <t>Baseline</t>
        </is>
      </c>
      <c r="D43" s="6">
        <f>Inventory_Master!F17</f>
        <v/>
      </c>
      <c r="E43" s="6">
        <f>Inventory_Master!G17</f>
        <v/>
      </c>
      <c r="F43" s="6">
        <f>Inventory_Master!H17</f>
        <v/>
      </c>
      <c r="G43" s="6">
        <f>D43*E43+F43</f>
        <v/>
      </c>
      <c r="H43" s="6">
        <f>Inventory_Master!E17</f>
        <v/>
      </c>
      <c r="I43" s="6">
        <f>MAX(0,G43-H43)</f>
        <v/>
      </c>
      <c r="J43" s="6">
        <f>D43*E43+F43+D43*Cost_Assumptions!$B$9</f>
        <v/>
      </c>
      <c r="K43" s="6">
        <f>IF(J43&lt;=H43,0,MAX(J43-H43,Inventory_Master!N17))</f>
        <v/>
      </c>
      <c r="L43" s="7">
        <f>K43*Inventory_Master!L17</f>
        <v/>
      </c>
    </row>
    <row r="44">
      <c r="A44" s="6">
        <f>Inventory_Master!A17</f>
        <v/>
      </c>
      <c r="B44" s="6">
        <f>Inventory_Master!B17</f>
        <v/>
      </c>
      <c r="C44" s="6" t="inlineStr">
        <is>
          <t>High Demand</t>
        </is>
      </c>
      <c r="D44" s="6">
        <f>Inventory_Master!F17*Cost_Assumptions!$B$7</f>
        <v/>
      </c>
      <c r="E44" s="6">
        <f>Inventory_Master!G17</f>
        <v/>
      </c>
      <c r="F44" s="6">
        <f>Inventory_Master!H17</f>
        <v/>
      </c>
      <c r="G44" s="6">
        <f>D44*E44+F44</f>
        <v/>
      </c>
      <c r="H44" s="6">
        <f>Inventory_Master!E17</f>
        <v/>
      </c>
      <c r="I44" s="6">
        <f>MAX(0,G44-H44)</f>
        <v/>
      </c>
      <c r="J44" s="6">
        <f>D44*E44+F44+D44*Cost_Assumptions!$B$9</f>
        <v/>
      </c>
      <c r="K44" s="6">
        <f>IF(J44&lt;=H44,0,MAX(J44-H44,Inventory_Master!N17))</f>
        <v/>
      </c>
      <c r="L44" s="7">
        <f>K44*Inventory_Master!L17</f>
        <v/>
      </c>
    </row>
    <row r="45">
      <c r="A45" s="6">
        <f>Inventory_Master!A17</f>
        <v/>
      </c>
      <c r="B45" s="6">
        <f>Inventory_Master!B17</f>
        <v/>
      </c>
      <c r="C45" s="6" t="inlineStr">
        <is>
          <t>Supplier Delay</t>
        </is>
      </c>
      <c r="D45" s="6">
        <f>Inventory_Master!F17</f>
        <v/>
      </c>
      <c r="E45" s="6">
        <f>Inventory_Master!G17+Cost_Assumptions!$B$8</f>
        <v/>
      </c>
      <c r="F45" s="6">
        <f>Inventory_Master!H17</f>
        <v/>
      </c>
      <c r="G45" s="6">
        <f>D45*E45+F45</f>
        <v/>
      </c>
      <c r="H45" s="6">
        <f>Inventory_Master!E17</f>
        <v/>
      </c>
      <c r="I45" s="6">
        <f>MAX(0,G45-H45)</f>
        <v/>
      </c>
      <c r="J45" s="6">
        <f>D45*E45+F45+D45*Cost_Assumptions!$B$9</f>
        <v/>
      </c>
      <c r="K45" s="6">
        <f>IF(J45&lt;=H45,0,MAX(J45-H45,Inventory_Master!N17))</f>
        <v/>
      </c>
      <c r="L45" s="7">
        <f>K45*Inventory_Master!L17</f>
        <v/>
      </c>
    </row>
    <row r="46">
      <c r="A46" s="6">
        <f>Inventory_Master!A18</f>
        <v/>
      </c>
      <c r="B46" s="6">
        <f>Inventory_Master!B18</f>
        <v/>
      </c>
      <c r="C46" s="6" t="inlineStr">
        <is>
          <t>Baseline</t>
        </is>
      </c>
      <c r="D46" s="6">
        <f>Inventory_Master!F18</f>
        <v/>
      </c>
      <c r="E46" s="6">
        <f>Inventory_Master!G18</f>
        <v/>
      </c>
      <c r="F46" s="6">
        <f>Inventory_Master!H18</f>
        <v/>
      </c>
      <c r="G46" s="6">
        <f>D46*E46+F46</f>
        <v/>
      </c>
      <c r="H46" s="6">
        <f>Inventory_Master!E18</f>
        <v/>
      </c>
      <c r="I46" s="6">
        <f>MAX(0,G46-H46)</f>
        <v/>
      </c>
      <c r="J46" s="6">
        <f>D46*E46+F46+D46*Cost_Assumptions!$B$9</f>
        <v/>
      </c>
      <c r="K46" s="6">
        <f>IF(J46&lt;=H46,0,MAX(J46-H46,Inventory_Master!N18))</f>
        <v/>
      </c>
      <c r="L46" s="7">
        <f>K46*Inventory_Master!L18</f>
        <v/>
      </c>
    </row>
    <row r="47">
      <c r="A47" s="6">
        <f>Inventory_Master!A18</f>
        <v/>
      </c>
      <c r="B47" s="6">
        <f>Inventory_Master!B18</f>
        <v/>
      </c>
      <c r="C47" s="6" t="inlineStr">
        <is>
          <t>High Demand</t>
        </is>
      </c>
      <c r="D47" s="6">
        <f>Inventory_Master!F18*Cost_Assumptions!$B$7</f>
        <v/>
      </c>
      <c r="E47" s="6">
        <f>Inventory_Master!G18</f>
        <v/>
      </c>
      <c r="F47" s="6">
        <f>Inventory_Master!H18</f>
        <v/>
      </c>
      <c r="G47" s="6">
        <f>D47*E47+F47</f>
        <v/>
      </c>
      <c r="H47" s="6">
        <f>Inventory_Master!E18</f>
        <v/>
      </c>
      <c r="I47" s="6">
        <f>MAX(0,G47-H47)</f>
        <v/>
      </c>
      <c r="J47" s="6">
        <f>D47*E47+F47+D47*Cost_Assumptions!$B$9</f>
        <v/>
      </c>
      <c r="K47" s="6">
        <f>IF(J47&lt;=H47,0,MAX(J47-H47,Inventory_Master!N18))</f>
        <v/>
      </c>
      <c r="L47" s="7">
        <f>K47*Inventory_Master!L18</f>
        <v/>
      </c>
    </row>
    <row r="48">
      <c r="A48" s="6">
        <f>Inventory_Master!A18</f>
        <v/>
      </c>
      <c r="B48" s="6">
        <f>Inventory_Master!B18</f>
        <v/>
      </c>
      <c r="C48" s="6" t="inlineStr">
        <is>
          <t>Supplier Delay</t>
        </is>
      </c>
      <c r="D48" s="6">
        <f>Inventory_Master!F18</f>
        <v/>
      </c>
      <c r="E48" s="6">
        <f>Inventory_Master!G18+Cost_Assumptions!$B$8</f>
        <v/>
      </c>
      <c r="F48" s="6">
        <f>Inventory_Master!H18</f>
        <v/>
      </c>
      <c r="G48" s="6">
        <f>D48*E48+F48</f>
        <v/>
      </c>
      <c r="H48" s="6">
        <f>Inventory_Master!E18</f>
        <v/>
      </c>
      <c r="I48" s="6">
        <f>MAX(0,G48-H48)</f>
        <v/>
      </c>
      <c r="J48" s="6">
        <f>D48*E48+F48+D48*Cost_Assumptions!$B$9</f>
        <v/>
      </c>
      <c r="K48" s="6">
        <f>IF(J48&lt;=H48,0,MAX(J48-H48,Inventory_Master!N18))</f>
        <v/>
      </c>
      <c r="L48" s="7">
        <f>K48*Inventory_Master!L18</f>
        <v/>
      </c>
    </row>
    <row r="49">
      <c r="A49" s="6">
        <f>Inventory_Master!A19</f>
        <v/>
      </c>
      <c r="B49" s="6">
        <f>Inventory_Master!B19</f>
        <v/>
      </c>
      <c r="C49" s="6" t="inlineStr">
        <is>
          <t>Baseline</t>
        </is>
      </c>
      <c r="D49" s="6">
        <f>Inventory_Master!F19</f>
        <v/>
      </c>
      <c r="E49" s="6">
        <f>Inventory_Master!G19</f>
        <v/>
      </c>
      <c r="F49" s="6">
        <f>Inventory_Master!H19</f>
        <v/>
      </c>
      <c r="G49" s="6">
        <f>D49*E49+F49</f>
        <v/>
      </c>
      <c r="H49" s="6">
        <f>Inventory_Master!E19</f>
        <v/>
      </c>
      <c r="I49" s="6">
        <f>MAX(0,G49-H49)</f>
        <v/>
      </c>
      <c r="J49" s="6">
        <f>D49*E49+F49+D49*Cost_Assumptions!$B$9</f>
        <v/>
      </c>
      <c r="K49" s="6">
        <f>IF(J49&lt;=H49,0,MAX(J49-H49,Inventory_Master!N19))</f>
        <v/>
      </c>
      <c r="L49" s="7">
        <f>K49*Inventory_Master!L19</f>
        <v/>
      </c>
    </row>
    <row r="50">
      <c r="A50" s="6">
        <f>Inventory_Master!A19</f>
        <v/>
      </c>
      <c r="B50" s="6">
        <f>Inventory_Master!B19</f>
        <v/>
      </c>
      <c r="C50" s="6" t="inlineStr">
        <is>
          <t>High Demand</t>
        </is>
      </c>
      <c r="D50" s="6">
        <f>Inventory_Master!F19*Cost_Assumptions!$B$7</f>
        <v/>
      </c>
      <c r="E50" s="6">
        <f>Inventory_Master!G19</f>
        <v/>
      </c>
      <c r="F50" s="6">
        <f>Inventory_Master!H19</f>
        <v/>
      </c>
      <c r="G50" s="6">
        <f>D50*E50+F50</f>
        <v/>
      </c>
      <c r="H50" s="6">
        <f>Inventory_Master!E19</f>
        <v/>
      </c>
      <c r="I50" s="6">
        <f>MAX(0,G50-H50)</f>
        <v/>
      </c>
      <c r="J50" s="6">
        <f>D50*E50+F50+D50*Cost_Assumptions!$B$9</f>
        <v/>
      </c>
      <c r="K50" s="6">
        <f>IF(J50&lt;=H50,0,MAX(J50-H50,Inventory_Master!N19))</f>
        <v/>
      </c>
      <c r="L50" s="7">
        <f>K50*Inventory_Master!L19</f>
        <v/>
      </c>
    </row>
    <row r="51">
      <c r="A51" s="6">
        <f>Inventory_Master!A19</f>
        <v/>
      </c>
      <c r="B51" s="6">
        <f>Inventory_Master!B19</f>
        <v/>
      </c>
      <c r="C51" s="6" t="inlineStr">
        <is>
          <t>Supplier Delay</t>
        </is>
      </c>
      <c r="D51" s="6">
        <f>Inventory_Master!F19</f>
        <v/>
      </c>
      <c r="E51" s="6">
        <f>Inventory_Master!G19+Cost_Assumptions!$B$8</f>
        <v/>
      </c>
      <c r="F51" s="6">
        <f>Inventory_Master!H19</f>
        <v/>
      </c>
      <c r="G51" s="6">
        <f>D51*E51+F51</f>
        <v/>
      </c>
      <c r="H51" s="6">
        <f>Inventory_Master!E19</f>
        <v/>
      </c>
      <c r="I51" s="6">
        <f>MAX(0,G51-H51)</f>
        <v/>
      </c>
      <c r="J51" s="6">
        <f>D51*E51+F51+D51*Cost_Assumptions!$B$9</f>
        <v/>
      </c>
      <c r="K51" s="6">
        <f>IF(J51&lt;=H51,0,MAX(J51-H51,Inventory_Master!N19))</f>
        <v/>
      </c>
      <c r="L51" s="7">
        <f>K51*Inventory_Master!L19</f>
        <v/>
      </c>
    </row>
    <row r="52">
      <c r="A52" s="6">
        <f>Inventory_Master!A20</f>
        <v/>
      </c>
      <c r="B52" s="6">
        <f>Inventory_Master!B20</f>
        <v/>
      </c>
      <c r="C52" s="6" t="inlineStr">
        <is>
          <t>Baseline</t>
        </is>
      </c>
      <c r="D52" s="6">
        <f>Inventory_Master!F20</f>
        <v/>
      </c>
      <c r="E52" s="6">
        <f>Inventory_Master!G20</f>
        <v/>
      </c>
      <c r="F52" s="6">
        <f>Inventory_Master!H20</f>
        <v/>
      </c>
      <c r="G52" s="6">
        <f>D52*E52+F52</f>
        <v/>
      </c>
      <c r="H52" s="6">
        <f>Inventory_Master!E20</f>
        <v/>
      </c>
      <c r="I52" s="6">
        <f>MAX(0,G52-H52)</f>
        <v/>
      </c>
      <c r="J52" s="6">
        <f>D52*E52+F52+D52*Cost_Assumptions!$B$9</f>
        <v/>
      </c>
      <c r="K52" s="6">
        <f>IF(J52&lt;=H52,0,MAX(J52-H52,Inventory_Master!N20))</f>
        <v/>
      </c>
      <c r="L52" s="7">
        <f>K52*Inventory_Master!L20</f>
        <v/>
      </c>
    </row>
    <row r="53">
      <c r="A53" s="6">
        <f>Inventory_Master!A20</f>
        <v/>
      </c>
      <c r="B53" s="6">
        <f>Inventory_Master!B20</f>
        <v/>
      </c>
      <c r="C53" s="6" t="inlineStr">
        <is>
          <t>High Demand</t>
        </is>
      </c>
      <c r="D53" s="6">
        <f>Inventory_Master!F20*Cost_Assumptions!$B$7</f>
        <v/>
      </c>
      <c r="E53" s="6">
        <f>Inventory_Master!G20</f>
        <v/>
      </c>
      <c r="F53" s="6">
        <f>Inventory_Master!H20</f>
        <v/>
      </c>
      <c r="G53" s="6">
        <f>D53*E53+F53</f>
        <v/>
      </c>
      <c r="H53" s="6">
        <f>Inventory_Master!E20</f>
        <v/>
      </c>
      <c r="I53" s="6">
        <f>MAX(0,G53-H53)</f>
        <v/>
      </c>
      <c r="J53" s="6">
        <f>D53*E53+F53+D53*Cost_Assumptions!$B$9</f>
        <v/>
      </c>
      <c r="K53" s="6">
        <f>IF(J53&lt;=H53,0,MAX(J53-H53,Inventory_Master!N20))</f>
        <v/>
      </c>
      <c r="L53" s="7">
        <f>K53*Inventory_Master!L20</f>
        <v/>
      </c>
    </row>
    <row r="54">
      <c r="A54" s="6">
        <f>Inventory_Master!A20</f>
        <v/>
      </c>
      <c r="B54" s="6">
        <f>Inventory_Master!B20</f>
        <v/>
      </c>
      <c r="C54" s="6" t="inlineStr">
        <is>
          <t>Supplier Delay</t>
        </is>
      </c>
      <c r="D54" s="6">
        <f>Inventory_Master!F20</f>
        <v/>
      </c>
      <c r="E54" s="6">
        <f>Inventory_Master!G20+Cost_Assumptions!$B$8</f>
        <v/>
      </c>
      <c r="F54" s="6">
        <f>Inventory_Master!H20</f>
        <v/>
      </c>
      <c r="G54" s="6">
        <f>D54*E54+F54</f>
        <v/>
      </c>
      <c r="H54" s="6">
        <f>Inventory_Master!E20</f>
        <v/>
      </c>
      <c r="I54" s="6">
        <f>MAX(0,G54-H54)</f>
        <v/>
      </c>
      <c r="J54" s="6">
        <f>D54*E54+F54+D54*Cost_Assumptions!$B$9</f>
        <v/>
      </c>
      <c r="K54" s="6">
        <f>IF(J54&lt;=H54,0,MAX(J54-H54,Inventory_Master!N20))</f>
        <v/>
      </c>
      <c r="L54" s="7">
        <f>K54*Inventory_Master!L20</f>
        <v/>
      </c>
    </row>
    <row r="55">
      <c r="A55" s="6">
        <f>Inventory_Master!A21</f>
        <v/>
      </c>
      <c r="B55" s="6">
        <f>Inventory_Master!B21</f>
        <v/>
      </c>
      <c r="C55" s="6" t="inlineStr">
        <is>
          <t>Baseline</t>
        </is>
      </c>
      <c r="D55" s="6">
        <f>Inventory_Master!F21</f>
        <v/>
      </c>
      <c r="E55" s="6">
        <f>Inventory_Master!G21</f>
        <v/>
      </c>
      <c r="F55" s="6">
        <f>Inventory_Master!H21</f>
        <v/>
      </c>
      <c r="G55" s="6">
        <f>D55*E55+F55</f>
        <v/>
      </c>
      <c r="H55" s="6">
        <f>Inventory_Master!E21</f>
        <v/>
      </c>
      <c r="I55" s="6">
        <f>MAX(0,G55-H55)</f>
        <v/>
      </c>
      <c r="J55" s="6">
        <f>D55*E55+F55+D55*Cost_Assumptions!$B$9</f>
        <v/>
      </c>
      <c r="K55" s="6">
        <f>IF(J55&lt;=H55,0,MAX(J55-H55,Inventory_Master!N21))</f>
        <v/>
      </c>
      <c r="L55" s="7">
        <f>K55*Inventory_Master!L21</f>
        <v/>
      </c>
    </row>
    <row r="56">
      <c r="A56" s="6">
        <f>Inventory_Master!A21</f>
        <v/>
      </c>
      <c r="B56" s="6">
        <f>Inventory_Master!B21</f>
        <v/>
      </c>
      <c r="C56" s="6" t="inlineStr">
        <is>
          <t>High Demand</t>
        </is>
      </c>
      <c r="D56" s="6">
        <f>Inventory_Master!F21*Cost_Assumptions!$B$7</f>
        <v/>
      </c>
      <c r="E56" s="6">
        <f>Inventory_Master!G21</f>
        <v/>
      </c>
      <c r="F56" s="6">
        <f>Inventory_Master!H21</f>
        <v/>
      </c>
      <c r="G56" s="6">
        <f>D56*E56+F56</f>
        <v/>
      </c>
      <c r="H56" s="6">
        <f>Inventory_Master!E21</f>
        <v/>
      </c>
      <c r="I56" s="6">
        <f>MAX(0,G56-H56)</f>
        <v/>
      </c>
      <c r="J56" s="6">
        <f>D56*E56+F56+D56*Cost_Assumptions!$B$9</f>
        <v/>
      </c>
      <c r="K56" s="6">
        <f>IF(J56&lt;=H56,0,MAX(J56-H56,Inventory_Master!N21))</f>
        <v/>
      </c>
      <c r="L56" s="7">
        <f>K56*Inventory_Master!L21</f>
        <v/>
      </c>
    </row>
    <row r="57">
      <c r="A57" s="6">
        <f>Inventory_Master!A21</f>
        <v/>
      </c>
      <c r="B57" s="6">
        <f>Inventory_Master!B21</f>
        <v/>
      </c>
      <c r="C57" s="6" t="inlineStr">
        <is>
          <t>Supplier Delay</t>
        </is>
      </c>
      <c r="D57" s="6">
        <f>Inventory_Master!F21</f>
        <v/>
      </c>
      <c r="E57" s="6">
        <f>Inventory_Master!G21+Cost_Assumptions!$B$8</f>
        <v/>
      </c>
      <c r="F57" s="6">
        <f>Inventory_Master!H21</f>
        <v/>
      </c>
      <c r="G57" s="6">
        <f>D57*E57+F57</f>
        <v/>
      </c>
      <c r="H57" s="6">
        <f>Inventory_Master!E21</f>
        <v/>
      </c>
      <c r="I57" s="6">
        <f>MAX(0,G57-H57)</f>
        <v/>
      </c>
      <c r="J57" s="6">
        <f>D57*E57+F57+D57*Cost_Assumptions!$B$9</f>
        <v/>
      </c>
      <c r="K57" s="6">
        <f>IF(J57&lt;=H57,0,MAX(J57-H57,Inventory_Master!N21))</f>
        <v/>
      </c>
      <c r="L57" s="7">
        <f>K57*Inventory_Master!L21</f>
        <v/>
      </c>
    </row>
    <row r="58">
      <c r="A58" s="6">
        <f>Inventory_Master!A22</f>
        <v/>
      </c>
      <c r="B58" s="6">
        <f>Inventory_Master!B22</f>
        <v/>
      </c>
      <c r="C58" s="6" t="inlineStr">
        <is>
          <t>Baseline</t>
        </is>
      </c>
      <c r="D58" s="6">
        <f>Inventory_Master!F22</f>
        <v/>
      </c>
      <c r="E58" s="6">
        <f>Inventory_Master!G22</f>
        <v/>
      </c>
      <c r="F58" s="6">
        <f>Inventory_Master!H22</f>
        <v/>
      </c>
      <c r="G58" s="6">
        <f>D58*E58+F58</f>
        <v/>
      </c>
      <c r="H58" s="6">
        <f>Inventory_Master!E22</f>
        <v/>
      </c>
      <c r="I58" s="6">
        <f>MAX(0,G58-H58)</f>
        <v/>
      </c>
      <c r="J58" s="6">
        <f>D58*E58+F58+D58*Cost_Assumptions!$B$9</f>
        <v/>
      </c>
      <c r="K58" s="6">
        <f>IF(J58&lt;=H58,0,MAX(J58-H58,Inventory_Master!N22))</f>
        <v/>
      </c>
      <c r="L58" s="7">
        <f>K58*Inventory_Master!L22</f>
        <v/>
      </c>
    </row>
    <row r="59">
      <c r="A59" s="6">
        <f>Inventory_Master!A22</f>
        <v/>
      </c>
      <c r="B59" s="6">
        <f>Inventory_Master!B22</f>
        <v/>
      </c>
      <c r="C59" s="6" t="inlineStr">
        <is>
          <t>High Demand</t>
        </is>
      </c>
      <c r="D59" s="6">
        <f>Inventory_Master!F22*Cost_Assumptions!$B$7</f>
        <v/>
      </c>
      <c r="E59" s="6">
        <f>Inventory_Master!G22</f>
        <v/>
      </c>
      <c r="F59" s="6">
        <f>Inventory_Master!H22</f>
        <v/>
      </c>
      <c r="G59" s="6">
        <f>D59*E59+F59</f>
        <v/>
      </c>
      <c r="H59" s="6">
        <f>Inventory_Master!E22</f>
        <v/>
      </c>
      <c r="I59" s="6">
        <f>MAX(0,G59-H59)</f>
        <v/>
      </c>
      <c r="J59" s="6">
        <f>D59*E59+F59+D59*Cost_Assumptions!$B$9</f>
        <v/>
      </c>
      <c r="K59" s="6">
        <f>IF(J59&lt;=H59,0,MAX(J59-H59,Inventory_Master!N22))</f>
        <v/>
      </c>
      <c r="L59" s="7">
        <f>K59*Inventory_Master!L22</f>
        <v/>
      </c>
    </row>
    <row r="60">
      <c r="A60" s="6">
        <f>Inventory_Master!A22</f>
        <v/>
      </c>
      <c r="B60" s="6">
        <f>Inventory_Master!B22</f>
        <v/>
      </c>
      <c r="C60" s="6" t="inlineStr">
        <is>
          <t>Supplier Delay</t>
        </is>
      </c>
      <c r="D60" s="6">
        <f>Inventory_Master!F22</f>
        <v/>
      </c>
      <c r="E60" s="6">
        <f>Inventory_Master!G22+Cost_Assumptions!$B$8</f>
        <v/>
      </c>
      <c r="F60" s="6">
        <f>Inventory_Master!H22</f>
        <v/>
      </c>
      <c r="G60" s="6">
        <f>D60*E60+F60</f>
        <v/>
      </c>
      <c r="H60" s="6">
        <f>Inventory_Master!E22</f>
        <v/>
      </c>
      <c r="I60" s="6">
        <f>MAX(0,G60-H60)</f>
        <v/>
      </c>
      <c r="J60" s="6">
        <f>D60*E60+F60+D60*Cost_Assumptions!$B$9</f>
        <v/>
      </c>
      <c r="K60" s="6">
        <f>IF(J60&lt;=H60,0,MAX(J60-H60,Inventory_Master!N22))</f>
        <v/>
      </c>
      <c r="L60" s="7">
        <f>K60*Inventory_Master!L22</f>
        <v/>
      </c>
    </row>
    <row r="61">
      <c r="A61" s="6">
        <f>Inventory_Master!A23</f>
        <v/>
      </c>
      <c r="B61" s="6">
        <f>Inventory_Master!B23</f>
        <v/>
      </c>
      <c r="C61" s="6" t="inlineStr">
        <is>
          <t>Baseline</t>
        </is>
      </c>
      <c r="D61" s="6">
        <f>Inventory_Master!F23</f>
        <v/>
      </c>
      <c r="E61" s="6">
        <f>Inventory_Master!G23</f>
        <v/>
      </c>
      <c r="F61" s="6">
        <f>Inventory_Master!H23</f>
        <v/>
      </c>
      <c r="G61" s="6">
        <f>D61*E61+F61</f>
        <v/>
      </c>
      <c r="H61" s="6">
        <f>Inventory_Master!E23</f>
        <v/>
      </c>
      <c r="I61" s="6">
        <f>MAX(0,G61-H61)</f>
        <v/>
      </c>
      <c r="J61" s="6">
        <f>D61*E61+F61+D61*Cost_Assumptions!$B$9</f>
        <v/>
      </c>
      <c r="K61" s="6">
        <f>IF(J61&lt;=H61,0,MAX(J61-H61,Inventory_Master!N23))</f>
        <v/>
      </c>
      <c r="L61" s="7">
        <f>K61*Inventory_Master!L23</f>
        <v/>
      </c>
    </row>
    <row r="62">
      <c r="A62" s="6">
        <f>Inventory_Master!A23</f>
        <v/>
      </c>
      <c r="B62" s="6">
        <f>Inventory_Master!B23</f>
        <v/>
      </c>
      <c r="C62" s="6" t="inlineStr">
        <is>
          <t>High Demand</t>
        </is>
      </c>
      <c r="D62" s="6">
        <f>Inventory_Master!F23*Cost_Assumptions!$B$7</f>
        <v/>
      </c>
      <c r="E62" s="6">
        <f>Inventory_Master!G23</f>
        <v/>
      </c>
      <c r="F62" s="6">
        <f>Inventory_Master!H23</f>
        <v/>
      </c>
      <c r="G62" s="6">
        <f>D62*E62+F62</f>
        <v/>
      </c>
      <c r="H62" s="6">
        <f>Inventory_Master!E23</f>
        <v/>
      </c>
      <c r="I62" s="6">
        <f>MAX(0,G62-H62)</f>
        <v/>
      </c>
      <c r="J62" s="6">
        <f>D62*E62+F62+D62*Cost_Assumptions!$B$9</f>
        <v/>
      </c>
      <c r="K62" s="6">
        <f>IF(J62&lt;=H62,0,MAX(J62-H62,Inventory_Master!N23))</f>
        <v/>
      </c>
      <c r="L62" s="7">
        <f>K62*Inventory_Master!L23</f>
        <v/>
      </c>
    </row>
    <row r="63">
      <c r="A63" s="6">
        <f>Inventory_Master!A23</f>
        <v/>
      </c>
      <c r="B63" s="6">
        <f>Inventory_Master!B23</f>
        <v/>
      </c>
      <c r="C63" s="6" t="inlineStr">
        <is>
          <t>Supplier Delay</t>
        </is>
      </c>
      <c r="D63" s="6">
        <f>Inventory_Master!F23</f>
        <v/>
      </c>
      <c r="E63" s="6">
        <f>Inventory_Master!G23+Cost_Assumptions!$B$8</f>
        <v/>
      </c>
      <c r="F63" s="6">
        <f>Inventory_Master!H23</f>
        <v/>
      </c>
      <c r="G63" s="6">
        <f>D63*E63+F63</f>
        <v/>
      </c>
      <c r="H63" s="6">
        <f>Inventory_Master!E23</f>
        <v/>
      </c>
      <c r="I63" s="6">
        <f>MAX(0,G63-H63)</f>
        <v/>
      </c>
      <c r="J63" s="6">
        <f>D63*E63+F63+D63*Cost_Assumptions!$B$9</f>
        <v/>
      </c>
      <c r="K63" s="6">
        <f>IF(J63&lt;=H63,0,MAX(J63-H63,Inventory_Master!N23))</f>
        <v/>
      </c>
      <c r="L63" s="7">
        <f>K63*Inventory_Master!L23</f>
        <v/>
      </c>
    </row>
    <row r="64">
      <c r="A64" s="6">
        <f>Inventory_Master!A24</f>
        <v/>
      </c>
      <c r="B64" s="6">
        <f>Inventory_Master!B24</f>
        <v/>
      </c>
      <c r="C64" s="6" t="inlineStr">
        <is>
          <t>Baseline</t>
        </is>
      </c>
      <c r="D64" s="6">
        <f>Inventory_Master!F24</f>
        <v/>
      </c>
      <c r="E64" s="6">
        <f>Inventory_Master!G24</f>
        <v/>
      </c>
      <c r="F64" s="6">
        <f>Inventory_Master!H24</f>
        <v/>
      </c>
      <c r="G64" s="6">
        <f>D64*E64+F64</f>
        <v/>
      </c>
      <c r="H64" s="6">
        <f>Inventory_Master!E24</f>
        <v/>
      </c>
      <c r="I64" s="6">
        <f>MAX(0,G64-H64)</f>
        <v/>
      </c>
      <c r="J64" s="6">
        <f>D64*E64+F64+D64*Cost_Assumptions!$B$9</f>
        <v/>
      </c>
      <c r="K64" s="6">
        <f>IF(J64&lt;=H64,0,MAX(J64-H64,Inventory_Master!N24))</f>
        <v/>
      </c>
      <c r="L64" s="7">
        <f>K64*Inventory_Master!L24</f>
        <v/>
      </c>
    </row>
    <row r="65">
      <c r="A65" s="6">
        <f>Inventory_Master!A24</f>
        <v/>
      </c>
      <c r="B65" s="6">
        <f>Inventory_Master!B24</f>
        <v/>
      </c>
      <c r="C65" s="6" t="inlineStr">
        <is>
          <t>High Demand</t>
        </is>
      </c>
      <c r="D65" s="6">
        <f>Inventory_Master!F24*Cost_Assumptions!$B$7</f>
        <v/>
      </c>
      <c r="E65" s="6">
        <f>Inventory_Master!G24</f>
        <v/>
      </c>
      <c r="F65" s="6">
        <f>Inventory_Master!H24</f>
        <v/>
      </c>
      <c r="G65" s="6">
        <f>D65*E65+F65</f>
        <v/>
      </c>
      <c r="H65" s="6">
        <f>Inventory_Master!E24</f>
        <v/>
      </c>
      <c r="I65" s="6">
        <f>MAX(0,G65-H65)</f>
        <v/>
      </c>
      <c r="J65" s="6">
        <f>D65*E65+F65+D65*Cost_Assumptions!$B$9</f>
        <v/>
      </c>
      <c r="K65" s="6">
        <f>IF(J65&lt;=H65,0,MAX(J65-H65,Inventory_Master!N24))</f>
        <v/>
      </c>
      <c r="L65" s="7">
        <f>K65*Inventory_Master!L24</f>
        <v/>
      </c>
    </row>
    <row r="66">
      <c r="A66" s="6">
        <f>Inventory_Master!A24</f>
        <v/>
      </c>
      <c r="B66" s="6">
        <f>Inventory_Master!B24</f>
        <v/>
      </c>
      <c r="C66" s="6" t="inlineStr">
        <is>
          <t>Supplier Delay</t>
        </is>
      </c>
      <c r="D66" s="6">
        <f>Inventory_Master!F24</f>
        <v/>
      </c>
      <c r="E66" s="6">
        <f>Inventory_Master!G24+Cost_Assumptions!$B$8</f>
        <v/>
      </c>
      <c r="F66" s="6">
        <f>Inventory_Master!H24</f>
        <v/>
      </c>
      <c r="G66" s="6">
        <f>D66*E66+F66</f>
        <v/>
      </c>
      <c r="H66" s="6">
        <f>Inventory_Master!E24</f>
        <v/>
      </c>
      <c r="I66" s="6">
        <f>MAX(0,G66-H66)</f>
        <v/>
      </c>
      <c r="J66" s="6">
        <f>D66*E66+F66+D66*Cost_Assumptions!$B$9</f>
        <v/>
      </c>
      <c r="K66" s="6">
        <f>IF(J66&lt;=H66,0,MAX(J66-H66,Inventory_Master!N24))</f>
        <v/>
      </c>
      <c r="L66" s="7">
        <f>K66*Inventory_Master!L24</f>
        <v/>
      </c>
    </row>
    <row r="67">
      <c r="A67" s="6">
        <f>Inventory_Master!A25</f>
        <v/>
      </c>
      <c r="B67" s="6">
        <f>Inventory_Master!B25</f>
        <v/>
      </c>
      <c r="C67" s="6" t="inlineStr">
        <is>
          <t>Baseline</t>
        </is>
      </c>
      <c r="D67" s="6">
        <f>Inventory_Master!F25</f>
        <v/>
      </c>
      <c r="E67" s="6">
        <f>Inventory_Master!G25</f>
        <v/>
      </c>
      <c r="F67" s="6">
        <f>Inventory_Master!H25</f>
        <v/>
      </c>
      <c r="G67" s="6">
        <f>D67*E67+F67</f>
        <v/>
      </c>
      <c r="H67" s="6">
        <f>Inventory_Master!E25</f>
        <v/>
      </c>
      <c r="I67" s="6">
        <f>MAX(0,G67-H67)</f>
        <v/>
      </c>
      <c r="J67" s="6">
        <f>D67*E67+F67+D67*Cost_Assumptions!$B$9</f>
        <v/>
      </c>
      <c r="K67" s="6">
        <f>IF(J67&lt;=H67,0,MAX(J67-H67,Inventory_Master!N25))</f>
        <v/>
      </c>
      <c r="L67" s="7">
        <f>K67*Inventory_Master!L25</f>
        <v/>
      </c>
    </row>
    <row r="68">
      <c r="A68" s="6">
        <f>Inventory_Master!A25</f>
        <v/>
      </c>
      <c r="B68" s="6">
        <f>Inventory_Master!B25</f>
        <v/>
      </c>
      <c r="C68" s="6" t="inlineStr">
        <is>
          <t>High Demand</t>
        </is>
      </c>
      <c r="D68" s="6">
        <f>Inventory_Master!F25*Cost_Assumptions!$B$7</f>
        <v/>
      </c>
      <c r="E68" s="6">
        <f>Inventory_Master!G25</f>
        <v/>
      </c>
      <c r="F68" s="6">
        <f>Inventory_Master!H25</f>
        <v/>
      </c>
      <c r="G68" s="6">
        <f>D68*E68+F68</f>
        <v/>
      </c>
      <c r="H68" s="6">
        <f>Inventory_Master!E25</f>
        <v/>
      </c>
      <c r="I68" s="6">
        <f>MAX(0,G68-H68)</f>
        <v/>
      </c>
      <c r="J68" s="6">
        <f>D68*E68+F68+D68*Cost_Assumptions!$B$9</f>
        <v/>
      </c>
      <c r="K68" s="6">
        <f>IF(J68&lt;=H68,0,MAX(J68-H68,Inventory_Master!N25))</f>
        <v/>
      </c>
      <c r="L68" s="7">
        <f>K68*Inventory_Master!L25</f>
        <v/>
      </c>
    </row>
    <row r="69">
      <c r="A69" s="6">
        <f>Inventory_Master!A25</f>
        <v/>
      </c>
      <c r="B69" s="6">
        <f>Inventory_Master!B25</f>
        <v/>
      </c>
      <c r="C69" s="6" t="inlineStr">
        <is>
          <t>Supplier Delay</t>
        </is>
      </c>
      <c r="D69" s="6">
        <f>Inventory_Master!F25</f>
        <v/>
      </c>
      <c r="E69" s="6">
        <f>Inventory_Master!G25+Cost_Assumptions!$B$8</f>
        <v/>
      </c>
      <c r="F69" s="6">
        <f>Inventory_Master!H25</f>
        <v/>
      </c>
      <c r="G69" s="6">
        <f>D69*E69+F69</f>
        <v/>
      </c>
      <c r="H69" s="6">
        <f>Inventory_Master!E25</f>
        <v/>
      </c>
      <c r="I69" s="6">
        <f>MAX(0,G69-H69)</f>
        <v/>
      </c>
      <c r="J69" s="6">
        <f>D69*E69+F69+D69*Cost_Assumptions!$B$9</f>
        <v/>
      </c>
      <c r="K69" s="6">
        <f>IF(J69&lt;=H69,0,MAX(J69-H69,Inventory_Master!N25))</f>
        <v/>
      </c>
      <c r="L69" s="7">
        <f>K69*Inventory_Master!L25</f>
        <v/>
      </c>
    </row>
    <row r="70">
      <c r="A70" s="6">
        <f>Inventory_Master!A26</f>
        <v/>
      </c>
      <c r="B70" s="6">
        <f>Inventory_Master!B26</f>
        <v/>
      </c>
      <c r="C70" s="6" t="inlineStr">
        <is>
          <t>Baseline</t>
        </is>
      </c>
      <c r="D70" s="6">
        <f>Inventory_Master!F26</f>
        <v/>
      </c>
      <c r="E70" s="6">
        <f>Inventory_Master!G26</f>
        <v/>
      </c>
      <c r="F70" s="6">
        <f>Inventory_Master!H26</f>
        <v/>
      </c>
      <c r="G70" s="6">
        <f>D70*E70+F70</f>
        <v/>
      </c>
      <c r="H70" s="6">
        <f>Inventory_Master!E26</f>
        <v/>
      </c>
      <c r="I70" s="6">
        <f>MAX(0,G70-H70)</f>
        <v/>
      </c>
      <c r="J70" s="6">
        <f>D70*E70+F70+D70*Cost_Assumptions!$B$9</f>
        <v/>
      </c>
      <c r="K70" s="6">
        <f>IF(J70&lt;=H70,0,MAX(J70-H70,Inventory_Master!N26))</f>
        <v/>
      </c>
      <c r="L70" s="7">
        <f>K70*Inventory_Master!L26</f>
        <v/>
      </c>
    </row>
    <row r="71">
      <c r="A71" s="6">
        <f>Inventory_Master!A26</f>
        <v/>
      </c>
      <c r="B71" s="6">
        <f>Inventory_Master!B26</f>
        <v/>
      </c>
      <c r="C71" s="6" t="inlineStr">
        <is>
          <t>High Demand</t>
        </is>
      </c>
      <c r="D71" s="6">
        <f>Inventory_Master!F26*Cost_Assumptions!$B$7</f>
        <v/>
      </c>
      <c r="E71" s="6">
        <f>Inventory_Master!G26</f>
        <v/>
      </c>
      <c r="F71" s="6">
        <f>Inventory_Master!H26</f>
        <v/>
      </c>
      <c r="G71" s="6">
        <f>D71*E71+F71</f>
        <v/>
      </c>
      <c r="H71" s="6">
        <f>Inventory_Master!E26</f>
        <v/>
      </c>
      <c r="I71" s="6">
        <f>MAX(0,G71-H71)</f>
        <v/>
      </c>
      <c r="J71" s="6">
        <f>D71*E71+F71+D71*Cost_Assumptions!$B$9</f>
        <v/>
      </c>
      <c r="K71" s="6">
        <f>IF(J71&lt;=H71,0,MAX(J71-H71,Inventory_Master!N26))</f>
        <v/>
      </c>
      <c r="L71" s="7">
        <f>K71*Inventory_Master!L26</f>
        <v/>
      </c>
    </row>
    <row r="72">
      <c r="A72" s="6">
        <f>Inventory_Master!A26</f>
        <v/>
      </c>
      <c r="B72" s="6">
        <f>Inventory_Master!B26</f>
        <v/>
      </c>
      <c r="C72" s="6" t="inlineStr">
        <is>
          <t>Supplier Delay</t>
        </is>
      </c>
      <c r="D72" s="6">
        <f>Inventory_Master!F26</f>
        <v/>
      </c>
      <c r="E72" s="6">
        <f>Inventory_Master!G26+Cost_Assumptions!$B$8</f>
        <v/>
      </c>
      <c r="F72" s="6">
        <f>Inventory_Master!H26</f>
        <v/>
      </c>
      <c r="G72" s="6">
        <f>D72*E72+F72</f>
        <v/>
      </c>
      <c r="H72" s="6">
        <f>Inventory_Master!E26</f>
        <v/>
      </c>
      <c r="I72" s="6">
        <f>MAX(0,G72-H72)</f>
        <v/>
      </c>
      <c r="J72" s="6">
        <f>D72*E72+F72+D72*Cost_Assumptions!$B$9</f>
        <v/>
      </c>
      <c r="K72" s="6">
        <f>IF(J72&lt;=H72,0,MAX(J72-H72,Inventory_Master!N26))</f>
        <v/>
      </c>
      <c r="L72" s="7">
        <f>K72*Inventory_Master!L26</f>
        <v/>
      </c>
    </row>
    <row r="73">
      <c r="A73" s="6">
        <f>Inventory_Master!A27</f>
        <v/>
      </c>
      <c r="B73" s="6">
        <f>Inventory_Master!B27</f>
        <v/>
      </c>
      <c r="C73" s="6" t="inlineStr">
        <is>
          <t>Baseline</t>
        </is>
      </c>
      <c r="D73" s="6">
        <f>Inventory_Master!F27</f>
        <v/>
      </c>
      <c r="E73" s="6">
        <f>Inventory_Master!G27</f>
        <v/>
      </c>
      <c r="F73" s="6">
        <f>Inventory_Master!H27</f>
        <v/>
      </c>
      <c r="G73" s="6">
        <f>D73*E73+F73</f>
        <v/>
      </c>
      <c r="H73" s="6">
        <f>Inventory_Master!E27</f>
        <v/>
      </c>
      <c r="I73" s="6">
        <f>MAX(0,G73-H73)</f>
        <v/>
      </c>
      <c r="J73" s="6">
        <f>D73*E73+F73+D73*Cost_Assumptions!$B$9</f>
        <v/>
      </c>
      <c r="K73" s="6">
        <f>IF(J73&lt;=H73,0,MAX(J73-H73,Inventory_Master!N27))</f>
        <v/>
      </c>
      <c r="L73" s="7">
        <f>K73*Inventory_Master!L27</f>
        <v/>
      </c>
    </row>
    <row r="74">
      <c r="A74" s="6">
        <f>Inventory_Master!A27</f>
        <v/>
      </c>
      <c r="B74" s="6">
        <f>Inventory_Master!B27</f>
        <v/>
      </c>
      <c r="C74" s="6" t="inlineStr">
        <is>
          <t>High Demand</t>
        </is>
      </c>
      <c r="D74" s="6">
        <f>Inventory_Master!F27*Cost_Assumptions!$B$7</f>
        <v/>
      </c>
      <c r="E74" s="6">
        <f>Inventory_Master!G27</f>
        <v/>
      </c>
      <c r="F74" s="6">
        <f>Inventory_Master!H27</f>
        <v/>
      </c>
      <c r="G74" s="6">
        <f>D74*E74+F74</f>
        <v/>
      </c>
      <c r="H74" s="6">
        <f>Inventory_Master!E27</f>
        <v/>
      </c>
      <c r="I74" s="6">
        <f>MAX(0,G74-H74)</f>
        <v/>
      </c>
      <c r="J74" s="6">
        <f>D74*E74+F74+D74*Cost_Assumptions!$B$9</f>
        <v/>
      </c>
      <c r="K74" s="6">
        <f>IF(J74&lt;=H74,0,MAX(J74-H74,Inventory_Master!N27))</f>
        <v/>
      </c>
      <c r="L74" s="7">
        <f>K74*Inventory_Master!L27</f>
        <v/>
      </c>
    </row>
    <row r="75">
      <c r="A75" s="6">
        <f>Inventory_Master!A27</f>
        <v/>
      </c>
      <c r="B75" s="6">
        <f>Inventory_Master!B27</f>
        <v/>
      </c>
      <c r="C75" s="6" t="inlineStr">
        <is>
          <t>Supplier Delay</t>
        </is>
      </c>
      <c r="D75" s="6">
        <f>Inventory_Master!F27</f>
        <v/>
      </c>
      <c r="E75" s="6">
        <f>Inventory_Master!G27+Cost_Assumptions!$B$8</f>
        <v/>
      </c>
      <c r="F75" s="6">
        <f>Inventory_Master!H27</f>
        <v/>
      </c>
      <c r="G75" s="6">
        <f>D75*E75+F75</f>
        <v/>
      </c>
      <c r="H75" s="6">
        <f>Inventory_Master!E27</f>
        <v/>
      </c>
      <c r="I75" s="6">
        <f>MAX(0,G75-H75)</f>
        <v/>
      </c>
      <c r="J75" s="6">
        <f>D75*E75+F75+D75*Cost_Assumptions!$B$9</f>
        <v/>
      </c>
      <c r="K75" s="6">
        <f>IF(J75&lt;=H75,0,MAX(J75-H75,Inventory_Master!N27))</f>
        <v/>
      </c>
      <c r="L75" s="7">
        <f>K75*Inventory_Master!L27</f>
        <v/>
      </c>
    </row>
    <row r="76">
      <c r="A76" s="6">
        <f>Inventory_Master!A28</f>
        <v/>
      </c>
      <c r="B76" s="6">
        <f>Inventory_Master!B28</f>
        <v/>
      </c>
      <c r="C76" s="6" t="inlineStr">
        <is>
          <t>Baseline</t>
        </is>
      </c>
      <c r="D76" s="6">
        <f>Inventory_Master!F28</f>
        <v/>
      </c>
      <c r="E76" s="6">
        <f>Inventory_Master!G28</f>
        <v/>
      </c>
      <c r="F76" s="6">
        <f>Inventory_Master!H28</f>
        <v/>
      </c>
      <c r="G76" s="6">
        <f>D76*E76+F76</f>
        <v/>
      </c>
      <c r="H76" s="6">
        <f>Inventory_Master!E28</f>
        <v/>
      </c>
      <c r="I76" s="6">
        <f>MAX(0,G76-H76)</f>
        <v/>
      </c>
      <c r="J76" s="6">
        <f>D76*E76+F76+D76*Cost_Assumptions!$B$9</f>
        <v/>
      </c>
      <c r="K76" s="6">
        <f>IF(J76&lt;=H76,0,MAX(J76-H76,Inventory_Master!N28))</f>
        <v/>
      </c>
      <c r="L76" s="7">
        <f>K76*Inventory_Master!L28</f>
        <v/>
      </c>
    </row>
    <row r="77">
      <c r="A77" s="6">
        <f>Inventory_Master!A28</f>
        <v/>
      </c>
      <c r="B77" s="6">
        <f>Inventory_Master!B28</f>
        <v/>
      </c>
      <c r="C77" s="6" t="inlineStr">
        <is>
          <t>High Demand</t>
        </is>
      </c>
      <c r="D77" s="6">
        <f>Inventory_Master!F28*Cost_Assumptions!$B$7</f>
        <v/>
      </c>
      <c r="E77" s="6">
        <f>Inventory_Master!G28</f>
        <v/>
      </c>
      <c r="F77" s="6">
        <f>Inventory_Master!H28</f>
        <v/>
      </c>
      <c r="G77" s="6">
        <f>D77*E77+F77</f>
        <v/>
      </c>
      <c r="H77" s="6">
        <f>Inventory_Master!E28</f>
        <v/>
      </c>
      <c r="I77" s="6">
        <f>MAX(0,G77-H77)</f>
        <v/>
      </c>
      <c r="J77" s="6">
        <f>D77*E77+F77+D77*Cost_Assumptions!$B$9</f>
        <v/>
      </c>
      <c r="K77" s="6">
        <f>IF(J77&lt;=H77,0,MAX(J77-H77,Inventory_Master!N28))</f>
        <v/>
      </c>
      <c r="L77" s="7">
        <f>K77*Inventory_Master!L28</f>
        <v/>
      </c>
    </row>
    <row r="78">
      <c r="A78" s="6">
        <f>Inventory_Master!A28</f>
        <v/>
      </c>
      <c r="B78" s="6">
        <f>Inventory_Master!B28</f>
        <v/>
      </c>
      <c r="C78" s="6" t="inlineStr">
        <is>
          <t>Supplier Delay</t>
        </is>
      </c>
      <c r="D78" s="6">
        <f>Inventory_Master!F28</f>
        <v/>
      </c>
      <c r="E78" s="6">
        <f>Inventory_Master!G28+Cost_Assumptions!$B$8</f>
        <v/>
      </c>
      <c r="F78" s="6">
        <f>Inventory_Master!H28</f>
        <v/>
      </c>
      <c r="G78" s="6">
        <f>D78*E78+F78</f>
        <v/>
      </c>
      <c r="H78" s="6">
        <f>Inventory_Master!E28</f>
        <v/>
      </c>
      <c r="I78" s="6">
        <f>MAX(0,G78-H78)</f>
        <v/>
      </c>
      <c r="J78" s="6">
        <f>D78*E78+F78+D78*Cost_Assumptions!$B$9</f>
        <v/>
      </c>
      <c r="K78" s="6">
        <f>IF(J78&lt;=H78,0,MAX(J78-H78,Inventory_Master!N28))</f>
        <v/>
      </c>
      <c r="L78" s="7">
        <f>K78*Inventory_Master!L28</f>
        <v/>
      </c>
    </row>
    <row r="79">
      <c r="A79" s="6">
        <f>Inventory_Master!A29</f>
        <v/>
      </c>
      <c r="B79" s="6">
        <f>Inventory_Master!B29</f>
        <v/>
      </c>
      <c r="C79" s="6" t="inlineStr">
        <is>
          <t>Baseline</t>
        </is>
      </c>
      <c r="D79" s="6">
        <f>Inventory_Master!F29</f>
        <v/>
      </c>
      <c r="E79" s="6">
        <f>Inventory_Master!G29</f>
        <v/>
      </c>
      <c r="F79" s="6">
        <f>Inventory_Master!H29</f>
        <v/>
      </c>
      <c r="G79" s="6">
        <f>D79*E79+F79</f>
        <v/>
      </c>
      <c r="H79" s="6">
        <f>Inventory_Master!E29</f>
        <v/>
      </c>
      <c r="I79" s="6">
        <f>MAX(0,G79-H79)</f>
        <v/>
      </c>
      <c r="J79" s="6">
        <f>D79*E79+F79+D79*Cost_Assumptions!$B$9</f>
        <v/>
      </c>
      <c r="K79" s="6">
        <f>IF(J79&lt;=H79,0,MAX(J79-H79,Inventory_Master!N29))</f>
        <v/>
      </c>
      <c r="L79" s="7">
        <f>K79*Inventory_Master!L29</f>
        <v/>
      </c>
    </row>
    <row r="80">
      <c r="A80" s="6">
        <f>Inventory_Master!A29</f>
        <v/>
      </c>
      <c r="B80" s="6">
        <f>Inventory_Master!B29</f>
        <v/>
      </c>
      <c r="C80" s="6" t="inlineStr">
        <is>
          <t>High Demand</t>
        </is>
      </c>
      <c r="D80" s="6">
        <f>Inventory_Master!F29*Cost_Assumptions!$B$7</f>
        <v/>
      </c>
      <c r="E80" s="6">
        <f>Inventory_Master!G29</f>
        <v/>
      </c>
      <c r="F80" s="6">
        <f>Inventory_Master!H29</f>
        <v/>
      </c>
      <c r="G80" s="6">
        <f>D80*E80+F80</f>
        <v/>
      </c>
      <c r="H80" s="6">
        <f>Inventory_Master!E29</f>
        <v/>
      </c>
      <c r="I80" s="6">
        <f>MAX(0,G80-H80)</f>
        <v/>
      </c>
      <c r="J80" s="6">
        <f>D80*E80+F80+D80*Cost_Assumptions!$B$9</f>
        <v/>
      </c>
      <c r="K80" s="6">
        <f>IF(J80&lt;=H80,0,MAX(J80-H80,Inventory_Master!N29))</f>
        <v/>
      </c>
      <c r="L80" s="7">
        <f>K80*Inventory_Master!L29</f>
        <v/>
      </c>
    </row>
    <row r="81">
      <c r="A81" s="6">
        <f>Inventory_Master!A29</f>
        <v/>
      </c>
      <c r="B81" s="6">
        <f>Inventory_Master!B29</f>
        <v/>
      </c>
      <c r="C81" s="6" t="inlineStr">
        <is>
          <t>Supplier Delay</t>
        </is>
      </c>
      <c r="D81" s="6">
        <f>Inventory_Master!F29</f>
        <v/>
      </c>
      <c r="E81" s="6">
        <f>Inventory_Master!G29+Cost_Assumptions!$B$8</f>
        <v/>
      </c>
      <c r="F81" s="6">
        <f>Inventory_Master!H29</f>
        <v/>
      </c>
      <c r="G81" s="6">
        <f>D81*E81+F81</f>
        <v/>
      </c>
      <c r="H81" s="6">
        <f>Inventory_Master!E29</f>
        <v/>
      </c>
      <c r="I81" s="6">
        <f>MAX(0,G81-H81)</f>
        <v/>
      </c>
      <c r="J81" s="6">
        <f>D81*E81+F81+D81*Cost_Assumptions!$B$9</f>
        <v/>
      </c>
      <c r="K81" s="6">
        <f>IF(J81&lt;=H81,0,MAX(J81-H81,Inventory_Master!N29))</f>
        <v/>
      </c>
      <c r="L81" s="7">
        <f>K81*Inventory_Master!L29</f>
        <v/>
      </c>
    </row>
    <row r="82">
      <c r="A82" s="6">
        <f>Inventory_Master!A30</f>
        <v/>
      </c>
      <c r="B82" s="6">
        <f>Inventory_Master!B30</f>
        <v/>
      </c>
      <c r="C82" s="6" t="inlineStr">
        <is>
          <t>Baseline</t>
        </is>
      </c>
      <c r="D82" s="6">
        <f>Inventory_Master!F30</f>
        <v/>
      </c>
      <c r="E82" s="6">
        <f>Inventory_Master!G30</f>
        <v/>
      </c>
      <c r="F82" s="6">
        <f>Inventory_Master!H30</f>
        <v/>
      </c>
      <c r="G82" s="6">
        <f>D82*E82+F82</f>
        <v/>
      </c>
      <c r="H82" s="6">
        <f>Inventory_Master!E30</f>
        <v/>
      </c>
      <c r="I82" s="6">
        <f>MAX(0,G82-H82)</f>
        <v/>
      </c>
      <c r="J82" s="6">
        <f>D82*E82+F82+D82*Cost_Assumptions!$B$9</f>
        <v/>
      </c>
      <c r="K82" s="6">
        <f>IF(J82&lt;=H82,0,MAX(J82-H82,Inventory_Master!N30))</f>
        <v/>
      </c>
      <c r="L82" s="7">
        <f>K82*Inventory_Master!L30</f>
        <v/>
      </c>
    </row>
    <row r="83">
      <c r="A83" s="6">
        <f>Inventory_Master!A30</f>
        <v/>
      </c>
      <c r="B83" s="6">
        <f>Inventory_Master!B30</f>
        <v/>
      </c>
      <c r="C83" s="6" t="inlineStr">
        <is>
          <t>High Demand</t>
        </is>
      </c>
      <c r="D83" s="6">
        <f>Inventory_Master!F30*Cost_Assumptions!$B$7</f>
        <v/>
      </c>
      <c r="E83" s="6">
        <f>Inventory_Master!G30</f>
        <v/>
      </c>
      <c r="F83" s="6">
        <f>Inventory_Master!H30</f>
        <v/>
      </c>
      <c r="G83" s="6">
        <f>D83*E83+F83</f>
        <v/>
      </c>
      <c r="H83" s="6">
        <f>Inventory_Master!E30</f>
        <v/>
      </c>
      <c r="I83" s="6">
        <f>MAX(0,G83-H83)</f>
        <v/>
      </c>
      <c r="J83" s="6">
        <f>D83*E83+F83+D83*Cost_Assumptions!$B$9</f>
        <v/>
      </c>
      <c r="K83" s="6">
        <f>IF(J83&lt;=H83,0,MAX(J83-H83,Inventory_Master!N30))</f>
        <v/>
      </c>
      <c r="L83" s="7">
        <f>K83*Inventory_Master!L30</f>
        <v/>
      </c>
    </row>
    <row r="84">
      <c r="A84" s="6">
        <f>Inventory_Master!A30</f>
        <v/>
      </c>
      <c r="B84" s="6">
        <f>Inventory_Master!B30</f>
        <v/>
      </c>
      <c r="C84" s="6" t="inlineStr">
        <is>
          <t>Supplier Delay</t>
        </is>
      </c>
      <c r="D84" s="6">
        <f>Inventory_Master!F30</f>
        <v/>
      </c>
      <c r="E84" s="6">
        <f>Inventory_Master!G30+Cost_Assumptions!$B$8</f>
        <v/>
      </c>
      <c r="F84" s="6">
        <f>Inventory_Master!H30</f>
        <v/>
      </c>
      <c r="G84" s="6">
        <f>D84*E84+F84</f>
        <v/>
      </c>
      <c r="H84" s="6">
        <f>Inventory_Master!E30</f>
        <v/>
      </c>
      <c r="I84" s="6">
        <f>MAX(0,G84-H84)</f>
        <v/>
      </c>
      <c r="J84" s="6">
        <f>D84*E84+F84+D84*Cost_Assumptions!$B$9</f>
        <v/>
      </c>
      <c r="K84" s="6">
        <f>IF(J84&lt;=H84,0,MAX(J84-H84,Inventory_Master!N30))</f>
        <v/>
      </c>
      <c r="L84" s="7">
        <f>K84*Inventory_Master!L30</f>
        <v/>
      </c>
    </row>
    <row r="85">
      <c r="A85" s="6">
        <f>Inventory_Master!A31</f>
        <v/>
      </c>
      <c r="B85" s="6">
        <f>Inventory_Master!B31</f>
        <v/>
      </c>
      <c r="C85" s="6" t="inlineStr">
        <is>
          <t>Baseline</t>
        </is>
      </c>
      <c r="D85" s="6">
        <f>Inventory_Master!F31</f>
        <v/>
      </c>
      <c r="E85" s="6">
        <f>Inventory_Master!G31</f>
        <v/>
      </c>
      <c r="F85" s="6">
        <f>Inventory_Master!H31</f>
        <v/>
      </c>
      <c r="G85" s="6">
        <f>D85*E85+F85</f>
        <v/>
      </c>
      <c r="H85" s="6">
        <f>Inventory_Master!E31</f>
        <v/>
      </c>
      <c r="I85" s="6">
        <f>MAX(0,G85-H85)</f>
        <v/>
      </c>
      <c r="J85" s="6">
        <f>D85*E85+F85+D85*Cost_Assumptions!$B$9</f>
        <v/>
      </c>
      <c r="K85" s="6">
        <f>IF(J85&lt;=H85,0,MAX(J85-H85,Inventory_Master!N31))</f>
        <v/>
      </c>
      <c r="L85" s="7">
        <f>K85*Inventory_Master!L31</f>
        <v/>
      </c>
    </row>
    <row r="86">
      <c r="A86" s="6">
        <f>Inventory_Master!A31</f>
        <v/>
      </c>
      <c r="B86" s="6">
        <f>Inventory_Master!B31</f>
        <v/>
      </c>
      <c r="C86" s="6" t="inlineStr">
        <is>
          <t>High Demand</t>
        </is>
      </c>
      <c r="D86" s="6">
        <f>Inventory_Master!F31*Cost_Assumptions!$B$7</f>
        <v/>
      </c>
      <c r="E86" s="6">
        <f>Inventory_Master!G31</f>
        <v/>
      </c>
      <c r="F86" s="6">
        <f>Inventory_Master!H31</f>
        <v/>
      </c>
      <c r="G86" s="6">
        <f>D86*E86+F86</f>
        <v/>
      </c>
      <c r="H86" s="6">
        <f>Inventory_Master!E31</f>
        <v/>
      </c>
      <c r="I86" s="6">
        <f>MAX(0,G86-H86)</f>
        <v/>
      </c>
      <c r="J86" s="6">
        <f>D86*E86+F86+D86*Cost_Assumptions!$B$9</f>
        <v/>
      </c>
      <c r="K86" s="6">
        <f>IF(J86&lt;=H86,0,MAX(J86-H86,Inventory_Master!N31))</f>
        <v/>
      </c>
      <c r="L86" s="7">
        <f>K86*Inventory_Master!L31</f>
        <v/>
      </c>
    </row>
    <row r="87">
      <c r="A87" s="6">
        <f>Inventory_Master!A31</f>
        <v/>
      </c>
      <c r="B87" s="6">
        <f>Inventory_Master!B31</f>
        <v/>
      </c>
      <c r="C87" s="6" t="inlineStr">
        <is>
          <t>Supplier Delay</t>
        </is>
      </c>
      <c r="D87" s="6">
        <f>Inventory_Master!F31</f>
        <v/>
      </c>
      <c r="E87" s="6">
        <f>Inventory_Master!G31+Cost_Assumptions!$B$8</f>
        <v/>
      </c>
      <c r="F87" s="6">
        <f>Inventory_Master!H31</f>
        <v/>
      </c>
      <c r="G87" s="6">
        <f>D87*E87+F87</f>
        <v/>
      </c>
      <c r="H87" s="6">
        <f>Inventory_Master!E31</f>
        <v/>
      </c>
      <c r="I87" s="6">
        <f>MAX(0,G87-H87)</f>
        <v/>
      </c>
      <c r="J87" s="6">
        <f>D87*E87+F87+D87*Cost_Assumptions!$B$9</f>
        <v/>
      </c>
      <c r="K87" s="6">
        <f>IF(J87&lt;=H87,0,MAX(J87-H87,Inventory_Master!N31))</f>
        <v/>
      </c>
      <c r="L87" s="7">
        <f>K87*Inventory_Master!L31</f>
        <v/>
      </c>
    </row>
    <row r="88">
      <c r="A88" s="6">
        <f>Inventory_Master!A32</f>
        <v/>
      </c>
      <c r="B88" s="6">
        <f>Inventory_Master!B32</f>
        <v/>
      </c>
      <c r="C88" s="6" t="inlineStr">
        <is>
          <t>Baseline</t>
        </is>
      </c>
      <c r="D88" s="6">
        <f>Inventory_Master!F32</f>
        <v/>
      </c>
      <c r="E88" s="6">
        <f>Inventory_Master!G32</f>
        <v/>
      </c>
      <c r="F88" s="6">
        <f>Inventory_Master!H32</f>
        <v/>
      </c>
      <c r="G88" s="6">
        <f>D88*E88+F88</f>
        <v/>
      </c>
      <c r="H88" s="6">
        <f>Inventory_Master!E32</f>
        <v/>
      </c>
      <c r="I88" s="6">
        <f>MAX(0,G88-H88)</f>
        <v/>
      </c>
      <c r="J88" s="6">
        <f>D88*E88+F88+D88*Cost_Assumptions!$B$9</f>
        <v/>
      </c>
      <c r="K88" s="6">
        <f>IF(J88&lt;=H88,0,MAX(J88-H88,Inventory_Master!N32))</f>
        <v/>
      </c>
      <c r="L88" s="7">
        <f>K88*Inventory_Master!L32</f>
        <v/>
      </c>
    </row>
    <row r="89">
      <c r="A89" s="6">
        <f>Inventory_Master!A32</f>
        <v/>
      </c>
      <c r="B89" s="6">
        <f>Inventory_Master!B32</f>
        <v/>
      </c>
      <c r="C89" s="6" t="inlineStr">
        <is>
          <t>High Demand</t>
        </is>
      </c>
      <c r="D89" s="6">
        <f>Inventory_Master!F32*Cost_Assumptions!$B$7</f>
        <v/>
      </c>
      <c r="E89" s="6">
        <f>Inventory_Master!G32</f>
        <v/>
      </c>
      <c r="F89" s="6">
        <f>Inventory_Master!H32</f>
        <v/>
      </c>
      <c r="G89" s="6">
        <f>D89*E89+F89</f>
        <v/>
      </c>
      <c r="H89" s="6">
        <f>Inventory_Master!E32</f>
        <v/>
      </c>
      <c r="I89" s="6">
        <f>MAX(0,G89-H89)</f>
        <v/>
      </c>
      <c r="J89" s="6">
        <f>D89*E89+F89+D89*Cost_Assumptions!$B$9</f>
        <v/>
      </c>
      <c r="K89" s="6">
        <f>IF(J89&lt;=H89,0,MAX(J89-H89,Inventory_Master!N32))</f>
        <v/>
      </c>
      <c r="L89" s="7">
        <f>K89*Inventory_Master!L32</f>
        <v/>
      </c>
    </row>
    <row r="90">
      <c r="A90" s="6">
        <f>Inventory_Master!A32</f>
        <v/>
      </c>
      <c r="B90" s="6">
        <f>Inventory_Master!B32</f>
        <v/>
      </c>
      <c r="C90" s="6" t="inlineStr">
        <is>
          <t>Supplier Delay</t>
        </is>
      </c>
      <c r="D90" s="6">
        <f>Inventory_Master!F32</f>
        <v/>
      </c>
      <c r="E90" s="6">
        <f>Inventory_Master!G32+Cost_Assumptions!$B$8</f>
        <v/>
      </c>
      <c r="F90" s="6">
        <f>Inventory_Master!H32</f>
        <v/>
      </c>
      <c r="G90" s="6">
        <f>D90*E90+F90</f>
        <v/>
      </c>
      <c r="H90" s="6">
        <f>Inventory_Master!E32</f>
        <v/>
      </c>
      <c r="I90" s="6">
        <f>MAX(0,G90-H90)</f>
        <v/>
      </c>
      <c r="J90" s="6">
        <f>D90*E90+F90+D90*Cost_Assumptions!$B$9</f>
        <v/>
      </c>
      <c r="K90" s="6">
        <f>IF(J90&lt;=H90,0,MAX(J90-H90,Inventory_Master!N32))</f>
        <v/>
      </c>
      <c r="L90" s="7">
        <f>K90*Inventory_Master!L32</f>
        <v/>
      </c>
    </row>
    <row r="91">
      <c r="A91" s="6">
        <f>Inventory_Master!A33</f>
        <v/>
      </c>
      <c r="B91" s="6">
        <f>Inventory_Master!B33</f>
        <v/>
      </c>
      <c r="C91" s="6" t="inlineStr">
        <is>
          <t>Baseline</t>
        </is>
      </c>
      <c r="D91" s="6">
        <f>Inventory_Master!F33</f>
        <v/>
      </c>
      <c r="E91" s="6">
        <f>Inventory_Master!G33</f>
        <v/>
      </c>
      <c r="F91" s="6">
        <f>Inventory_Master!H33</f>
        <v/>
      </c>
      <c r="G91" s="6">
        <f>D91*E91+F91</f>
        <v/>
      </c>
      <c r="H91" s="6">
        <f>Inventory_Master!E33</f>
        <v/>
      </c>
      <c r="I91" s="6">
        <f>MAX(0,G91-H91)</f>
        <v/>
      </c>
      <c r="J91" s="6">
        <f>D91*E91+F91+D91*Cost_Assumptions!$B$9</f>
        <v/>
      </c>
      <c r="K91" s="6">
        <f>IF(J91&lt;=H91,0,MAX(J91-H91,Inventory_Master!N33))</f>
        <v/>
      </c>
      <c r="L91" s="7">
        <f>K91*Inventory_Master!L33</f>
        <v/>
      </c>
    </row>
    <row r="92">
      <c r="A92" s="6">
        <f>Inventory_Master!A33</f>
        <v/>
      </c>
      <c r="B92" s="6">
        <f>Inventory_Master!B33</f>
        <v/>
      </c>
      <c r="C92" s="6" t="inlineStr">
        <is>
          <t>High Demand</t>
        </is>
      </c>
      <c r="D92" s="6">
        <f>Inventory_Master!F33*Cost_Assumptions!$B$7</f>
        <v/>
      </c>
      <c r="E92" s="6">
        <f>Inventory_Master!G33</f>
        <v/>
      </c>
      <c r="F92" s="6">
        <f>Inventory_Master!H33</f>
        <v/>
      </c>
      <c r="G92" s="6">
        <f>D92*E92+F92</f>
        <v/>
      </c>
      <c r="H92" s="6">
        <f>Inventory_Master!E33</f>
        <v/>
      </c>
      <c r="I92" s="6">
        <f>MAX(0,G92-H92)</f>
        <v/>
      </c>
      <c r="J92" s="6">
        <f>D92*E92+F92+D92*Cost_Assumptions!$B$9</f>
        <v/>
      </c>
      <c r="K92" s="6">
        <f>IF(J92&lt;=H92,0,MAX(J92-H92,Inventory_Master!N33))</f>
        <v/>
      </c>
      <c r="L92" s="7">
        <f>K92*Inventory_Master!L33</f>
        <v/>
      </c>
    </row>
    <row r="93">
      <c r="A93" s="6">
        <f>Inventory_Master!A33</f>
        <v/>
      </c>
      <c r="B93" s="6">
        <f>Inventory_Master!B33</f>
        <v/>
      </c>
      <c r="C93" s="6" t="inlineStr">
        <is>
          <t>Supplier Delay</t>
        </is>
      </c>
      <c r="D93" s="6">
        <f>Inventory_Master!F33</f>
        <v/>
      </c>
      <c r="E93" s="6">
        <f>Inventory_Master!G33+Cost_Assumptions!$B$8</f>
        <v/>
      </c>
      <c r="F93" s="6">
        <f>Inventory_Master!H33</f>
        <v/>
      </c>
      <c r="G93" s="6">
        <f>D93*E93+F93</f>
        <v/>
      </c>
      <c r="H93" s="6">
        <f>Inventory_Master!E33</f>
        <v/>
      </c>
      <c r="I93" s="6">
        <f>MAX(0,G93-H93)</f>
        <v/>
      </c>
      <c r="J93" s="6">
        <f>D93*E93+F93+D93*Cost_Assumptions!$B$9</f>
        <v/>
      </c>
      <c r="K93" s="6">
        <f>IF(J93&lt;=H93,0,MAX(J93-H93,Inventory_Master!N33))</f>
        <v/>
      </c>
      <c r="L93" s="7">
        <f>K93*Inventory_Master!L33</f>
        <v/>
      </c>
    </row>
  </sheetData>
  <mergeCells count="1">
    <mergeCell ref="A2:H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20" customWidth="1" min="4" max="4"/>
    <col width="27" customWidth="1" min="5" max="5"/>
    <col width="24" customWidth="1" min="6" max="6"/>
    <col width="32" customWidth="1" min="7" max="7"/>
    <col width="29" customWidth="1" min="8" max="8"/>
    <col width="30" customWidth="1" min="9" max="9"/>
  </cols>
  <sheetData>
    <row r="1" ht="32" customHeight="1">
      <c r="A1" s="1" t="inlineStr">
        <is>
          <t>Cost Analysis</t>
        </is>
      </c>
    </row>
    <row r="2" ht="25" customHeight="1">
      <c r="A2" s="2" t="inlineStr">
        <is>
          <t>Estimated annual holding costs and modeled procurement costs; interpret as scenario estimates, not accounting actuals.</t>
        </is>
      </c>
    </row>
    <row r="3" ht="36" customHeight="1">
      <c r="A3" s="5" t="inlineStr">
        <is>
          <t>SKU</t>
        </is>
      </c>
      <c r="B3" s="5" t="inlineStr">
        <is>
          <t>Product</t>
        </is>
      </c>
      <c r="C3" s="5" t="inlineStr">
        <is>
          <t>Current Inventory Value (₹)</t>
        </is>
      </c>
      <c r="D3" s="5" t="inlineStr">
        <is>
          <t>Suggested Order Qty</t>
        </is>
      </c>
      <c r="E3" s="5" t="inlineStr">
        <is>
          <t>Suggested Purchase Cost (₹)</t>
        </is>
      </c>
      <c r="F3" s="5" t="inlineStr">
        <is>
          <t>Annual Holding Cost (₹)</t>
        </is>
      </c>
      <c r="G3" s="5" t="inlineStr">
        <is>
          <t>Estimated Order Processing Cost (₹)</t>
        </is>
      </c>
      <c r="H3" s="5" t="inlineStr">
        <is>
          <t>Illustrative Stockout Risk Units</t>
        </is>
      </c>
      <c r="I3" s="5" t="inlineStr">
        <is>
          <t>Illustrative Stockout Risk Cost (₹)</t>
        </is>
      </c>
    </row>
    <row r="4">
      <c r="A4" s="6">
        <f>Inventory_Master!A4</f>
        <v/>
      </c>
      <c r="B4" s="6">
        <f>Inventory_Master!B4</f>
        <v/>
      </c>
      <c r="C4" s="7">
        <f>Inventory_Master!J4</f>
        <v/>
      </c>
      <c r="D4" s="6">
        <f>Replenishment_Plan!L4</f>
        <v/>
      </c>
      <c r="E4" s="7">
        <f>Replenishment_Plan!O4</f>
        <v/>
      </c>
      <c r="F4" s="7">
        <f>C4*Cost_Assumptions!$B$4</f>
        <v/>
      </c>
      <c r="G4" s="7">
        <f>IF(D4&gt;0,Cost_Assumptions!$B$5,0)</f>
        <v/>
      </c>
      <c r="H4" s="6">
        <f>Replenishment_Plan!G4-Replenishment_Plan!C4</f>
        <v/>
      </c>
      <c r="I4" s="7">
        <f>MAX(0,H4)*Cost_Assumptions!$B$6</f>
        <v/>
      </c>
    </row>
    <row r="5">
      <c r="A5" s="6">
        <f>Inventory_Master!A5</f>
        <v/>
      </c>
      <c r="B5" s="6">
        <f>Inventory_Master!B5</f>
        <v/>
      </c>
      <c r="C5" s="7">
        <f>Inventory_Master!J5</f>
        <v/>
      </c>
      <c r="D5" s="6">
        <f>Replenishment_Plan!L5</f>
        <v/>
      </c>
      <c r="E5" s="7">
        <f>Replenishment_Plan!O5</f>
        <v/>
      </c>
      <c r="F5" s="7">
        <f>C5*Cost_Assumptions!$B$4</f>
        <v/>
      </c>
      <c r="G5" s="7">
        <f>IF(D5&gt;0,Cost_Assumptions!$B$5,0)</f>
        <v/>
      </c>
      <c r="H5" s="6">
        <f>Replenishment_Plan!G5-Replenishment_Plan!C5</f>
        <v/>
      </c>
      <c r="I5" s="7">
        <f>MAX(0,H5)*Cost_Assumptions!$B$6</f>
        <v/>
      </c>
    </row>
    <row r="6">
      <c r="A6" s="6">
        <f>Inventory_Master!A6</f>
        <v/>
      </c>
      <c r="B6" s="6">
        <f>Inventory_Master!B6</f>
        <v/>
      </c>
      <c r="C6" s="7">
        <f>Inventory_Master!J6</f>
        <v/>
      </c>
      <c r="D6" s="6">
        <f>Replenishment_Plan!L6</f>
        <v/>
      </c>
      <c r="E6" s="7">
        <f>Replenishment_Plan!O6</f>
        <v/>
      </c>
      <c r="F6" s="7">
        <f>C6*Cost_Assumptions!$B$4</f>
        <v/>
      </c>
      <c r="G6" s="7">
        <f>IF(D6&gt;0,Cost_Assumptions!$B$5,0)</f>
        <v/>
      </c>
      <c r="H6" s="6">
        <f>Replenishment_Plan!G6-Replenishment_Plan!C6</f>
        <v/>
      </c>
      <c r="I6" s="7">
        <f>MAX(0,H6)*Cost_Assumptions!$B$6</f>
        <v/>
      </c>
    </row>
    <row r="7">
      <c r="A7" s="6">
        <f>Inventory_Master!A7</f>
        <v/>
      </c>
      <c r="B7" s="6">
        <f>Inventory_Master!B7</f>
        <v/>
      </c>
      <c r="C7" s="7">
        <f>Inventory_Master!J7</f>
        <v/>
      </c>
      <c r="D7" s="6">
        <f>Replenishment_Plan!L7</f>
        <v/>
      </c>
      <c r="E7" s="7">
        <f>Replenishment_Plan!O7</f>
        <v/>
      </c>
      <c r="F7" s="7">
        <f>C7*Cost_Assumptions!$B$4</f>
        <v/>
      </c>
      <c r="G7" s="7">
        <f>IF(D7&gt;0,Cost_Assumptions!$B$5,0)</f>
        <v/>
      </c>
      <c r="H7" s="6">
        <f>Replenishment_Plan!G7-Replenishment_Plan!C7</f>
        <v/>
      </c>
      <c r="I7" s="7">
        <f>MAX(0,H7)*Cost_Assumptions!$B$6</f>
        <v/>
      </c>
    </row>
    <row r="8">
      <c r="A8" s="6">
        <f>Inventory_Master!A8</f>
        <v/>
      </c>
      <c r="B8" s="6">
        <f>Inventory_Master!B8</f>
        <v/>
      </c>
      <c r="C8" s="7">
        <f>Inventory_Master!J8</f>
        <v/>
      </c>
      <c r="D8" s="6">
        <f>Replenishment_Plan!L8</f>
        <v/>
      </c>
      <c r="E8" s="7">
        <f>Replenishment_Plan!O8</f>
        <v/>
      </c>
      <c r="F8" s="7">
        <f>C8*Cost_Assumptions!$B$4</f>
        <v/>
      </c>
      <c r="G8" s="7">
        <f>IF(D8&gt;0,Cost_Assumptions!$B$5,0)</f>
        <v/>
      </c>
      <c r="H8" s="6">
        <f>Replenishment_Plan!G8-Replenishment_Plan!C8</f>
        <v/>
      </c>
      <c r="I8" s="7">
        <f>MAX(0,H8)*Cost_Assumptions!$B$6</f>
        <v/>
      </c>
    </row>
    <row r="9">
      <c r="A9" s="6">
        <f>Inventory_Master!A9</f>
        <v/>
      </c>
      <c r="B9" s="6">
        <f>Inventory_Master!B9</f>
        <v/>
      </c>
      <c r="C9" s="7">
        <f>Inventory_Master!J9</f>
        <v/>
      </c>
      <c r="D9" s="6">
        <f>Replenishment_Plan!L9</f>
        <v/>
      </c>
      <c r="E9" s="7">
        <f>Replenishment_Plan!O9</f>
        <v/>
      </c>
      <c r="F9" s="7">
        <f>C9*Cost_Assumptions!$B$4</f>
        <v/>
      </c>
      <c r="G9" s="7">
        <f>IF(D9&gt;0,Cost_Assumptions!$B$5,0)</f>
        <v/>
      </c>
      <c r="H9" s="6">
        <f>Replenishment_Plan!G9-Replenishment_Plan!C9</f>
        <v/>
      </c>
      <c r="I9" s="7">
        <f>MAX(0,H9)*Cost_Assumptions!$B$6</f>
        <v/>
      </c>
    </row>
    <row r="10">
      <c r="A10" s="6">
        <f>Inventory_Master!A10</f>
        <v/>
      </c>
      <c r="B10" s="6">
        <f>Inventory_Master!B10</f>
        <v/>
      </c>
      <c r="C10" s="7">
        <f>Inventory_Master!J10</f>
        <v/>
      </c>
      <c r="D10" s="6">
        <f>Replenishment_Plan!L10</f>
        <v/>
      </c>
      <c r="E10" s="7">
        <f>Replenishment_Plan!O10</f>
        <v/>
      </c>
      <c r="F10" s="7">
        <f>C10*Cost_Assumptions!$B$4</f>
        <v/>
      </c>
      <c r="G10" s="7">
        <f>IF(D10&gt;0,Cost_Assumptions!$B$5,0)</f>
        <v/>
      </c>
      <c r="H10" s="6">
        <f>Replenishment_Plan!G10-Replenishment_Plan!C10</f>
        <v/>
      </c>
      <c r="I10" s="7">
        <f>MAX(0,H10)*Cost_Assumptions!$B$6</f>
        <v/>
      </c>
    </row>
    <row r="11">
      <c r="A11" s="6">
        <f>Inventory_Master!A11</f>
        <v/>
      </c>
      <c r="B11" s="6">
        <f>Inventory_Master!B11</f>
        <v/>
      </c>
      <c r="C11" s="7">
        <f>Inventory_Master!J11</f>
        <v/>
      </c>
      <c r="D11" s="6">
        <f>Replenishment_Plan!L11</f>
        <v/>
      </c>
      <c r="E11" s="7">
        <f>Replenishment_Plan!O11</f>
        <v/>
      </c>
      <c r="F11" s="7">
        <f>C11*Cost_Assumptions!$B$4</f>
        <v/>
      </c>
      <c r="G11" s="7">
        <f>IF(D11&gt;0,Cost_Assumptions!$B$5,0)</f>
        <v/>
      </c>
      <c r="H11" s="6">
        <f>Replenishment_Plan!G11-Replenishment_Plan!C11</f>
        <v/>
      </c>
      <c r="I11" s="7">
        <f>MAX(0,H11)*Cost_Assumptions!$B$6</f>
        <v/>
      </c>
    </row>
    <row r="12">
      <c r="A12" s="6">
        <f>Inventory_Master!A12</f>
        <v/>
      </c>
      <c r="B12" s="6">
        <f>Inventory_Master!B12</f>
        <v/>
      </c>
      <c r="C12" s="7">
        <f>Inventory_Master!J12</f>
        <v/>
      </c>
      <c r="D12" s="6">
        <f>Replenishment_Plan!L12</f>
        <v/>
      </c>
      <c r="E12" s="7">
        <f>Replenishment_Plan!O12</f>
        <v/>
      </c>
      <c r="F12" s="7">
        <f>C12*Cost_Assumptions!$B$4</f>
        <v/>
      </c>
      <c r="G12" s="7">
        <f>IF(D12&gt;0,Cost_Assumptions!$B$5,0)</f>
        <v/>
      </c>
      <c r="H12" s="6">
        <f>Replenishment_Plan!G12-Replenishment_Plan!C12</f>
        <v/>
      </c>
      <c r="I12" s="7">
        <f>MAX(0,H12)*Cost_Assumptions!$B$6</f>
        <v/>
      </c>
    </row>
    <row r="13">
      <c r="A13" s="6">
        <f>Inventory_Master!A13</f>
        <v/>
      </c>
      <c r="B13" s="6">
        <f>Inventory_Master!B13</f>
        <v/>
      </c>
      <c r="C13" s="7">
        <f>Inventory_Master!J13</f>
        <v/>
      </c>
      <c r="D13" s="6">
        <f>Replenishment_Plan!L13</f>
        <v/>
      </c>
      <c r="E13" s="7">
        <f>Replenishment_Plan!O13</f>
        <v/>
      </c>
      <c r="F13" s="7">
        <f>C13*Cost_Assumptions!$B$4</f>
        <v/>
      </c>
      <c r="G13" s="7">
        <f>IF(D13&gt;0,Cost_Assumptions!$B$5,0)</f>
        <v/>
      </c>
      <c r="H13" s="6">
        <f>Replenishment_Plan!G13-Replenishment_Plan!C13</f>
        <v/>
      </c>
      <c r="I13" s="7">
        <f>MAX(0,H13)*Cost_Assumptions!$B$6</f>
        <v/>
      </c>
    </row>
    <row r="14">
      <c r="A14" s="6">
        <f>Inventory_Master!A14</f>
        <v/>
      </c>
      <c r="B14" s="6">
        <f>Inventory_Master!B14</f>
        <v/>
      </c>
      <c r="C14" s="7">
        <f>Inventory_Master!J14</f>
        <v/>
      </c>
      <c r="D14" s="6">
        <f>Replenishment_Plan!L14</f>
        <v/>
      </c>
      <c r="E14" s="7">
        <f>Replenishment_Plan!O14</f>
        <v/>
      </c>
      <c r="F14" s="7">
        <f>C14*Cost_Assumptions!$B$4</f>
        <v/>
      </c>
      <c r="G14" s="7">
        <f>IF(D14&gt;0,Cost_Assumptions!$B$5,0)</f>
        <v/>
      </c>
      <c r="H14" s="6">
        <f>Replenishment_Plan!G14-Replenishment_Plan!C14</f>
        <v/>
      </c>
      <c r="I14" s="7">
        <f>MAX(0,H14)*Cost_Assumptions!$B$6</f>
        <v/>
      </c>
    </row>
    <row r="15">
      <c r="A15" s="6">
        <f>Inventory_Master!A15</f>
        <v/>
      </c>
      <c r="B15" s="6">
        <f>Inventory_Master!B15</f>
        <v/>
      </c>
      <c r="C15" s="7">
        <f>Inventory_Master!J15</f>
        <v/>
      </c>
      <c r="D15" s="6">
        <f>Replenishment_Plan!L15</f>
        <v/>
      </c>
      <c r="E15" s="7">
        <f>Replenishment_Plan!O15</f>
        <v/>
      </c>
      <c r="F15" s="7">
        <f>C15*Cost_Assumptions!$B$4</f>
        <v/>
      </c>
      <c r="G15" s="7">
        <f>IF(D15&gt;0,Cost_Assumptions!$B$5,0)</f>
        <v/>
      </c>
      <c r="H15" s="6">
        <f>Replenishment_Plan!G15-Replenishment_Plan!C15</f>
        <v/>
      </c>
      <c r="I15" s="7">
        <f>MAX(0,H15)*Cost_Assumptions!$B$6</f>
        <v/>
      </c>
    </row>
    <row r="16">
      <c r="A16" s="6">
        <f>Inventory_Master!A16</f>
        <v/>
      </c>
      <c r="B16" s="6">
        <f>Inventory_Master!B16</f>
        <v/>
      </c>
      <c r="C16" s="7">
        <f>Inventory_Master!J16</f>
        <v/>
      </c>
      <c r="D16" s="6">
        <f>Replenishment_Plan!L16</f>
        <v/>
      </c>
      <c r="E16" s="7">
        <f>Replenishment_Plan!O16</f>
        <v/>
      </c>
      <c r="F16" s="7">
        <f>C16*Cost_Assumptions!$B$4</f>
        <v/>
      </c>
      <c r="G16" s="7">
        <f>IF(D16&gt;0,Cost_Assumptions!$B$5,0)</f>
        <v/>
      </c>
      <c r="H16" s="6">
        <f>Replenishment_Plan!G16-Replenishment_Plan!C16</f>
        <v/>
      </c>
      <c r="I16" s="7">
        <f>MAX(0,H16)*Cost_Assumptions!$B$6</f>
        <v/>
      </c>
    </row>
    <row r="17">
      <c r="A17" s="6">
        <f>Inventory_Master!A17</f>
        <v/>
      </c>
      <c r="B17" s="6">
        <f>Inventory_Master!B17</f>
        <v/>
      </c>
      <c r="C17" s="7">
        <f>Inventory_Master!J17</f>
        <v/>
      </c>
      <c r="D17" s="6">
        <f>Replenishment_Plan!L17</f>
        <v/>
      </c>
      <c r="E17" s="7">
        <f>Replenishment_Plan!O17</f>
        <v/>
      </c>
      <c r="F17" s="7">
        <f>C17*Cost_Assumptions!$B$4</f>
        <v/>
      </c>
      <c r="G17" s="7">
        <f>IF(D17&gt;0,Cost_Assumptions!$B$5,0)</f>
        <v/>
      </c>
      <c r="H17" s="6">
        <f>Replenishment_Plan!G17-Replenishment_Plan!C17</f>
        <v/>
      </c>
      <c r="I17" s="7">
        <f>MAX(0,H17)*Cost_Assumptions!$B$6</f>
        <v/>
      </c>
    </row>
    <row r="18">
      <c r="A18" s="6">
        <f>Inventory_Master!A18</f>
        <v/>
      </c>
      <c r="B18" s="6">
        <f>Inventory_Master!B18</f>
        <v/>
      </c>
      <c r="C18" s="7">
        <f>Inventory_Master!J18</f>
        <v/>
      </c>
      <c r="D18" s="6">
        <f>Replenishment_Plan!L18</f>
        <v/>
      </c>
      <c r="E18" s="7">
        <f>Replenishment_Plan!O18</f>
        <v/>
      </c>
      <c r="F18" s="7">
        <f>C18*Cost_Assumptions!$B$4</f>
        <v/>
      </c>
      <c r="G18" s="7">
        <f>IF(D18&gt;0,Cost_Assumptions!$B$5,0)</f>
        <v/>
      </c>
      <c r="H18" s="6">
        <f>Replenishment_Plan!G18-Replenishment_Plan!C18</f>
        <v/>
      </c>
      <c r="I18" s="7">
        <f>MAX(0,H18)*Cost_Assumptions!$B$6</f>
        <v/>
      </c>
    </row>
    <row r="19">
      <c r="A19" s="6">
        <f>Inventory_Master!A19</f>
        <v/>
      </c>
      <c r="B19" s="6">
        <f>Inventory_Master!B19</f>
        <v/>
      </c>
      <c r="C19" s="7">
        <f>Inventory_Master!J19</f>
        <v/>
      </c>
      <c r="D19" s="6">
        <f>Replenishment_Plan!L19</f>
        <v/>
      </c>
      <c r="E19" s="7">
        <f>Replenishment_Plan!O19</f>
        <v/>
      </c>
      <c r="F19" s="7">
        <f>C19*Cost_Assumptions!$B$4</f>
        <v/>
      </c>
      <c r="G19" s="7">
        <f>IF(D19&gt;0,Cost_Assumptions!$B$5,0)</f>
        <v/>
      </c>
      <c r="H19" s="6">
        <f>Replenishment_Plan!G19-Replenishment_Plan!C19</f>
        <v/>
      </c>
      <c r="I19" s="7">
        <f>MAX(0,H19)*Cost_Assumptions!$B$6</f>
        <v/>
      </c>
    </row>
    <row r="20">
      <c r="A20" s="6">
        <f>Inventory_Master!A20</f>
        <v/>
      </c>
      <c r="B20" s="6">
        <f>Inventory_Master!B20</f>
        <v/>
      </c>
      <c r="C20" s="7">
        <f>Inventory_Master!J20</f>
        <v/>
      </c>
      <c r="D20" s="6">
        <f>Replenishment_Plan!L20</f>
        <v/>
      </c>
      <c r="E20" s="7">
        <f>Replenishment_Plan!O20</f>
        <v/>
      </c>
      <c r="F20" s="7">
        <f>C20*Cost_Assumptions!$B$4</f>
        <v/>
      </c>
      <c r="G20" s="7">
        <f>IF(D20&gt;0,Cost_Assumptions!$B$5,0)</f>
        <v/>
      </c>
      <c r="H20" s="6">
        <f>Replenishment_Plan!G20-Replenishment_Plan!C20</f>
        <v/>
      </c>
      <c r="I20" s="7">
        <f>MAX(0,H20)*Cost_Assumptions!$B$6</f>
        <v/>
      </c>
    </row>
    <row r="21">
      <c r="A21" s="6">
        <f>Inventory_Master!A21</f>
        <v/>
      </c>
      <c r="B21" s="6">
        <f>Inventory_Master!B21</f>
        <v/>
      </c>
      <c r="C21" s="7">
        <f>Inventory_Master!J21</f>
        <v/>
      </c>
      <c r="D21" s="6">
        <f>Replenishment_Plan!L21</f>
        <v/>
      </c>
      <c r="E21" s="7">
        <f>Replenishment_Plan!O21</f>
        <v/>
      </c>
      <c r="F21" s="7">
        <f>C21*Cost_Assumptions!$B$4</f>
        <v/>
      </c>
      <c r="G21" s="7">
        <f>IF(D21&gt;0,Cost_Assumptions!$B$5,0)</f>
        <v/>
      </c>
      <c r="H21" s="6">
        <f>Replenishment_Plan!G21-Replenishment_Plan!C21</f>
        <v/>
      </c>
      <c r="I21" s="7">
        <f>MAX(0,H21)*Cost_Assumptions!$B$6</f>
        <v/>
      </c>
    </row>
    <row r="22">
      <c r="A22" s="6">
        <f>Inventory_Master!A22</f>
        <v/>
      </c>
      <c r="B22" s="6">
        <f>Inventory_Master!B22</f>
        <v/>
      </c>
      <c r="C22" s="7">
        <f>Inventory_Master!J22</f>
        <v/>
      </c>
      <c r="D22" s="6">
        <f>Replenishment_Plan!L22</f>
        <v/>
      </c>
      <c r="E22" s="7">
        <f>Replenishment_Plan!O22</f>
        <v/>
      </c>
      <c r="F22" s="7">
        <f>C22*Cost_Assumptions!$B$4</f>
        <v/>
      </c>
      <c r="G22" s="7">
        <f>IF(D22&gt;0,Cost_Assumptions!$B$5,0)</f>
        <v/>
      </c>
      <c r="H22" s="6">
        <f>Replenishment_Plan!G22-Replenishment_Plan!C22</f>
        <v/>
      </c>
      <c r="I22" s="7">
        <f>MAX(0,H22)*Cost_Assumptions!$B$6</f>
        <v/>
      </c>
    </row>
    <row r="23">
      <c r="A23" s="6">
        <f>Inventory_Master!A23</f>
        <v/>
      </c>
      <c r="B23" s="6">
        <f>Inventory_Master!B23</f>
        <v/>
      </c>
      <c r="C23" s="7">
        <f>Inventory_Master!J23</f>
        <v/>
      </c>
      <c r="D23" s="6">
        <f>Replenishment_Plan!L23</f>
        <v/>
      </c>
      <c r="E23" s="7">
        <f>Replenishment_Plan!O23</f>
        <v/>
      </c>
      <c r="F23" s="7">
        <f>C23*Cost_Assumptions!$B$4</f>
        <v/>
      </c>
      <c r="G23" s="7">
        <f>IF(D23&gt;0,Cost_Assumptions!$B$5,0)</f>
        <v/>
      </c>
      <c r="H23" s="6">
        <f>Replenishment_Plan!G23-Replenishment_Plan!C23</f>
        <v/>
      </c>
      <c r="I23" s="7">
        <f>MAX(0,H23)*Cost_Assumptions!$B$6</f>
        <v/>
      </c>
    </row>
    <row r="24">
      <c r="A24" s="6">
        <f>Inventory_Master!A24</f>
        <v/>
      </c>
      <c r="B24" s="6">
        <f>Inventory_Master!B24</f>
        <v/>
      </c>
      <c r="C24" s="7">
        <f>Inventory_Master!J24</f>
        <v/>
      </c>
      <c r="D24" s="6">
        <f>Replenishment_Plan!L24</f>
        <v/>
      </c>
      <c r="E24" s="7">
        <f>Replenishment_Plan!O24</f>
        <v/>
      </c>
      <c r="F24" s="7">
        <f>C24*Cost_Assumptions!$B$4</f>
        <v/>
      </c>
      <c r="G24" s="7">
        <f>IF(D24&gt;0,Cost_Assumptions!$B$5,0)</f>
        <v/>
      </c>
      <c r="H24" s="6">
        <f>Replenishment_Plan!G24-Replenishment_Plan!C24</f>
        <v/>
      </c>
      <c r="I24" s="7">
        <f>MAX(0,H24)*Cost_Assumptions!$B$6</f>
        <v/>
      </c>
    </row>
    <row r="25">
      <c r="A25" s="6">
        <f>Inventory_Master!A25</f>
        <v/>
      </c>
      <c r="B25" s="6">
        <f>Inventory_Master!B25</f>
        <v/>
      </c>
      <c r="C25" s="7">
        <f>Inventory_Master!J25</f>
        <v/>
      </c>
      <c r="D25" s="6">
        <f>Replenishment_Plan!L25</f>
        <v/>
      </c>
      <c r="E25" s="7">
        <f>Replenishment_Plan!O25</f>
        <v/>
      </c>
      <c r="F25" s="7">
        <f>C25*Cost_Assumptions!$B$4</f>
        <v/>
      </c>
      <c r="G25" s="7">
        <f>IF(D25&gt;0,Cost_Assumptions!$B$5,0)</f>
        <v/>
      </c>
      <c r="H25" s="6">
        <f>Replenishment_Plan!G25-Replenishment_Plan!C25</f>
        <v/>
      </c>
      <c r="I25" s="7">
        <f>MAX(0,H25)*Cost_Assumptions!$B$6</f>
        <v/>
      </c>
    </row>
    <row r="26">
      <c r="A26" s="6">
        <f>Inventory_Master!A26</f>
        <v/>
      </c>
      <c r="B26" s="6">
        <f>Inventory_Master!B26</f>
        <v/>
      </c>
      <c r="C26" s="7">
        <f>Inventory_Master!J26</f>
        <v/>
      </c>
      <c r="D26" s="6">
        <f>Replenishment_Plan!L26</f>
        <v/>
      </c>
      <c r="E26" s="7">
        <f>Replenishment_Plan!O26</f>
        <v/>
      </c>
      <c r="F26" s="7">
        <f>C26*Cost_Assumptions!$B$4</f>
        <v/>
      </c>
      <c r="G26" s="7">
        <f>IF(D26&gt;0,Cost_Assumptions!$B$5,0)</f>
        <v/>
      </c>
      <c r="H26" s="6">
        <f>Replenishment_Plan!G26-Replenishment_Plan!C26</f>
        <v/>
      </c>
      <c r="I26" s="7">
        <f>MAX(0,H26)*Cost_Assumptions!$B$6</f>
        <v/>
      </c>
    </row>
    <row r="27">
      <c r="A27" s="6">
        <f>Inventory_Master!A27</f>
        <v/>
      </c>
      <c r="B27" s="6">
        <f>Inventory_Master!B27</f>
        <v/>
      </c>
      <c r="C27" s="7">
        <f>Inventory_Master!J27</f>
        <v/>
      </c>
      <c r="D27" s="6">
        <f>Replenishment_Plan!L27</f>
        <v/>
      </c>
      <c r="E27" s="7">
        <f>Replenishment_Plan!O27</f>
        <v/>
      </c>
      <c r="F27" s="7">
        <f>C27*Cost_Assumptions!$B$4</f>
        <v/>
      </c>
      <c r="G27" s="7">
        <f>IF(D27&gt;0,Cost_Assumptions!$B$5,0)</f>
        <v/>
      </c>
      <c r="H27" s="6">
        <f>Replenishment_Plan!G27-Replenishment_Plan!C27</f>
        <v/>
      </c>
      <c r="I27" s="7">
        <f>MAX(0,H27)*Cost_Assumptions!$B$6</f>
        <v/>
      </c>
    </row>
    <row r="28">
      <c r="A28" s="6">
        <f>Inventory_Master!A28</f>
        <v/>
      </c>
      <c r="B28" s="6">
        <f>Inventory_Master!B28</f>
        <v/>
      </c>
      <c r="C28" s="7">
        <f>Inventory_Master!J28</f>
        <v/>
      </c>
      <c r="D28" s="6">
        <f>Replenishment_Plan!L28</f>
        <v/>
      </c>
      <c r="E28" s="7">
        <f>Replenishment_Plan!O28</f>
        <v/>
      </c>
      <c r="F28" s="7">
        <f>C28*Cost_Assumptions!$B$4</f>
        <v/>
      </c>
      <c r="G28" s="7">
        <f>IF(D28&gt;0,Cost_Assumptions!$B$5,0)</f>
        <v/>
      </c>
      <c r="H28" s="6">
        <f>Replenishment_Plan!G28-Replenishment_Plan!C28</f>
        <v/>
      </c>
      <c r="I28" s="7">
        <f>MAX(0,H28)*Cost_Assumptions!$B$6</f>
        <v/>
      </c>
    </row>
    <row r="29">
      <c r="A29" s="6">
        <f>Inventory_Master!A29</f>
        <v/>
      </c>
      <c r="B29" s="6">
        <f>Inventory_Master!B29</f>
        <v/>
      </c>
      <c r="C29" s="7">
        <f>Inventory_Master!J29</f>
        <v/>
      </c>
      <c r="D29" s="6">
        <f>Replenishment_Plan!L29</f>
        <v/>
      </c>
      <c r="E29" s="7">
        <f>Replenishment_Plan!O29</f>
        <v/>
      </c>
      <c r="F29" s="7">
        <f>C29*Cost_Assumptions!$B$4</f>
        <v/>
      </c>
      <c r="G29" s="7">
        <f>IF(D29&gt;0,Cost_Assumptions!$B$5,0)</f>
        <v/>
      </c>
      <c r="H29" s="6">
        <f>Replenishment_Plan!G29-Replenishment_Plan!C29</f>
        <v/>
      </c>
      <c r="I29" s="7">
        <f>MAX(0,H29)*Cost_Assumptions!$B$6</f>
        <v/>
      </c>
    </row>
    <row r="30">
      <c r="A30" s="6">
        <f>Inventory_Master!A30</f>
        <v/>
      </c>
      <c r="B30" s="6">
        <f>Inventory_Master!B30</f>
        <v/>
      </c>
      <c r="C30" s="7">
        <f>Inventory_Master!J30</f>
        <v/>
      </c>
      <c r="D30" s="6">
        <f>Replenishment_Plan!L30</f>
        <v/>
      </c>
      <c r="E30" s="7">
        <f>Replenishment_Plan!O30</f>
        <v/>
      </c>
      <c r="F30" s="7">
        <f>C30*Cost_Assumptions!$B$4</f>
        <v/>
      </c>
      <c r="G30" s="7">
        <f>IF(D30&gt;0,Cost_Assumptions!$B$5,0)</f>
        <v/>
      </c>
      <c r="H30" s="6">
        <f>Replenishment_Plan!G30-Replenishment_Plan!C30</f>
        <v/>
      </c>
      <c r="I30" s="7">
        <f>MAX(0,H30)*Cost_Assumptions!$B$6</f>
        <v/>
      </c>
    </row>
    <row r="31">
      <c r="A31" s="6">
        <f>Inventory_Master!A31</f>
        <v/>
      </c>
      <c r="B31" s="6">
        <f>Inventory_Master!B31</f>
        <v/>
      </c>
      <c r="C31" s="7">
        <f>Inventory_Master!J31</f>
        <v/>
      </c>
      <c r="D31" s="6">
        <f>Replenishment_Plan!L31</f>
        <v/>
      </c>
      <c r="E31" s="7">
        <f>Replenishment_Plan!O31</f>
        <v/>
      </c>
      <c r="F31" s="7">
        <f>C31*Cost_Assumptions!$B$4</f>
        <v/>
      </c>
      <c r="G31" s="7">
        <f>IF(D31&gt;0,Cost_Assumptions!$B$5,0)</f>
        <v/>
      </c>
      <c r="H31" s="6">
        <f>Replenishment_Plan!G31-Replenishment_Plan!C31</f>
        <v/>
      </c>
      <c r="I31" s="7">
        <f>MAX(0,H31)*Cost_Assumptions!$B$6</f>
        <v/>
      </c>
    </row>
    <row r="32">
      <c r="A32" s="6">
        <f>Inventory_Master!A32</f>
        <v/>
      </c>
      <c r="B32" s="6">
        <f>Inventory_Master!B32</f>
        <v/>
      </c>
      <c r="C32" s="7">
        <f>Inventory_Master!J32</f>
        <v/>
      </c>
      <c r="D32" s="6">
        <f>Replenishment_Plan!L32</f>
        <v/>
      </c>
      <c r="E32" s="7">
        <f>Replenishment_Plan!O32</f>
        <v/>
      </c>
      <c r="F32" s="7">
        <f>C32*Cost_Assumptions!$B$4</f>
        <v/>
      </c>
      <c r="G32" s="7">
        <f>IF(D32&gt;0,Cost_Assumptions!$B$5,0)</f>
        <v/>
      </c>
      <c r="H32" s="6">
        <f>Replenishment_Plan!G32-Replenishment_Plan!C32</f>
        <v/>
      </c>
      <c r="I32" s="7">
        <f>MAX(0,H32)*Cost_Assumptions!$B$6</f>
        <v/>
      </c>
    </row>
    <row r="33">
      <c r="A33" s="6">
        <f>Inventory_Master!A33</f>
        <v/>
      </c>
      <c r="B33" s="6">
        <f>Inventory_Master!B33</f>
        <v/>
      </c>
      <c r="C33" s="7">
        <f>Inventory_Master!J33</f>
        <v/>
      </c>
      <c r="D33" s="6">
        <f>Replenishment_Plan!L33</f>
        <v/>
      </c>
      <c r="E33" s="7">
        <f>Replenishment_Plan!O33</f>
        <v/>
      </c>
      <c r="F33" s="7">
        <f>C33*Cost_Assumptions!$B$4</f>
        <v/>
      </c>
      <c r="G33" s="7">
        <f>IF(D33&gt;0,Cost_Assumptions!$B$5,0)</f>
        <v/>
      </c>
      <c r="H33" s="6">
        <f>Replenishment_Plan!G33-Replenishment_Plan!C33</f>
        <v/>
      </c>
      <c r="I33" s="7">
        <f>MAX(0,H33)*Cost_Assumptions!$B$6</f>
        <v/>
      </c>
    </row>
  </sheetData>
  <mergeCells count="1">
    <mergeCell ref="A2:H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4" customWidth="1" min="3" max="3"/>
    <col width="24" customWidth="1" min="4" max="4"/>
    <col width="26" customWidth="1" min="5" max="5"/>
    <col width="4" customWidth="1" min="6" max="6"/>
    <col width="30" customWidth="1" min="7" max="7"/>
    <col width="24" customWidth="1" min="8" max="8"/>
  </cols>
  <sheetData>
    <row r="1" ht="32" customHeight="1">
      <c r="A1" s="1" t="inlineStr">
        <is>
          <t>Inventory &amp; Procurement Dashboard</t>
        </is>
      </c>
    </row>
    <row r="2" ht="25" customHeight="1">
      <c r="A2" s="2" t="inlineStr">
        <is>
          <t>Synthetic data | Review Excel-calculated values before writing final findings.</t>
        </is>
      </c>
    </row>
    <row r="3"/>
    <row r="4">
      <c r="A4" s="13" t="inlineStr">
        <is>
          <t>KEY PERFORMANCE INDICATORS</t>
        </is>
      </c>
    </row>
    <row r="5" ht="43" customHeight="1">
      <c r="A5" s="14" t="inlineStr">
        <is>
          <t>Total Inventory Value</t>
        </is>
      </c>
      <c r="B5" s="15">
        <f>SUM(Inventory_Master!J4:J33)</f>
        <v/>
      </c>
      <c r="D5" s="14" t="inlineStr">
        <is>
          <t>Products to Reorder</t>
        </is>
      </c>
      <c r="E5" s="16">
        <f>COUNTIF(Replenishment_Plan!H4:H33,"REORDER")</f>
        <v/>
      </c>
      <c r="G5" s="14" t="inlineStr">
        <is>
          <t>Suggested Purchase Cost</t>
        </is>
      </c>
      <c r="H5" s="15">
        <f>SUM(Replenishment_Plan!O4:O33)</f>
        <v/>
      </c>
    </row>
    <row r="6"/>
    <row r="7"/>
    <row r="8" ht="43" customHeight="1">
      <c r="A8" s="14" t="inlineStr">
        <is>
          <t>Total SKUs</t>
        </is>
      </c>
      <c r="B8" s="16">
        <f>COUNTA(Inventory_Master!A4:A33)</f>
        <v/>
      </c>
      <c r="D8" s="14" t="inlineStr">
        <is>
          <t>Supplier Quotes</t>
        </is>
      </c>
      <c r="E8" s="16">
        <f>COUNTA(Supplier_Comparison!C4:C93)</f>
        <v/>
      </c>
      <c r="G8" s="14" t="inlineStr">
        <is>
          <t>Annual Holding Cost</t>
        </is>
      </c>
      <c r="H8" s="15">
        <f>SUM(Cost_Analysis!F4:F33)</f>
        <v/>
      </c>
    </row>
    <row r="9"/>
    <row r="10"/>
    <row r="11" ht="43" customHeight="1">
      <c r="A11" s="14" t="inlineStr">
        <is>
          <t>Reorder Order Count</t>
        </is>
      </c>
      <c r="B11" s="16">
        <f>SUM(Replenishment_Plan!P4:P33)</f>
        <v/>
      </c>
      <c r="D11" s="14" t="inlineStr">
        <is>
          <t>Estimated Order Processing Cost</t>
        </is>
      </c>
      <c r="E11" s="15">
        <f>SUM(Cost_Analysis!G4:G33)</f>
        <v/>
      </c>
      <c r="G11" s="14" t="inlineStr">
        <is>
          <t>Illustrative Stockout Risk Cost</t>
        </is>
      </c>
      <c r="H11" s="15">
        <f>SUM(Cost_Analysis!I4:I33)</f>
        <v/>
      </c>
    </row>
    <row r="12"/>
    <row r="13"/>
    <row r="14"/>
    <row r="15">
      <c r="A15" s="17" t="inlineStr">
        <is>
          <t>Inventory Value by Category</t>
        </is>
      </c>
    </row>
    <row r="16">
      <c r="A16" s="18" t="inlineStr">
        <is>
          <t>Category</t>
        </is>
      </c>
      <c r="B16" s="18" t="inlineStr">
        <is>
          <t>Inventory Value (₹)</t>
        </is>
      </c>
    </row>
    <row r="17">
      <c r="A17" s="6" t="inlineStr">
        <is>
          <t>Electronics</t>
        </is>
      </c>
      <c r="B17" s="19">
        <f>SUMIF(Inventory_Master!$C$4:$C$33,A17,Inventory_Master!$J$4:$J$33)</f>
        <v/>
      </c>
    </row>
    <row r="18">
      <c r="A18" s="6" t="inlineStr">
        <is>
          <t>Home</t>
        </is>
      </c>
      <c r="B18" s="19">
        <f>SUMIF(Inventory_Master!$C$4:$C$33,A18,Inventory_Master!$J$4:$J$33)</f>
        <v/>
      </c>
    </row>
    <row r="19">
      <c r="A19" s="6" t="inlineStr">
        <is>
          <t>Lifestyle</t>
        </is>
      </c>
      <c r="B19" s="19">
        <f>SUMIF(Inventory_Master!$C$4:$C$33,A19,Inventory_Master!$J$4:$J$33)</f>
        <v/>
      </c>
    </row>
    <row r="20">
      <c r="A20" s="6" t="inlineStr">
        <is>
          <t>Stationery</t>
        </is>
      </c>
      <c r="B20" s="19">
        <f>SUMIF(Inventory_Master!$C$4:$C$33,A20,Inventory_Master!$J$4:$J$33)</f>
        <v/>
      </c>
    </row>
    <row r="21">
      <c r="A21" s="6" t="inlineStr">
        <is>
          <t>Fitness</t>
        </is>
      </c>
      <c r="B21" s="19">
        <f>SUMIF(Inventory_Master!$C$4:$C$33,A21,Inventory_Master!$J$4:$J$33)</f>
        <v/>
      </c>
    </row>
    <row r="22"/>
    <row r="23"/>
    <row r="24">
      <c r="A24" s="17" t="inlineStr">
        <is>
          <t>Replenishment Status</t>
        </is>
      </c>
    </row>
    <row r="25">
      <c r="A25" s="18" t="inlineStr">
        <is>
          <t>Status</t>
        </is>
      </c>
      <c r="B25" s="18" t="inlineStr">
        <is>
          <t>Number of SKUs</t>
        </is>
      </c>
    </row>
    <row r="26">
      <c r="A26" s="6" t="inlineStr">
        <is>
          <t>REORDER</t>
        </is>
      </c>
      <c r="B26" s="6">
        <f>COUNTIF(Replenishment_Plan!H4:H33,"REORDER")</f>
        <v/>
      </c>
    </row>
    <row r="27">
      <c r="A27" s="6" t="inlineStr">
        <is>
          <t>OK</t>
        </is>
      </c>
      <c r="B27" s="6">
        <f>COUNTIF(Replenishment_Plan!H4:H33,"OK")</f>
        <v/>
      </c>
    </row>
    <row r="28"/>
    <row r="29"/>
    <row r="30">
      <c r="A30" s="17" t="inlineStr">
        <is>
          <t>Questions for your written analysis</t>
        </is>
      </c>
    </row>
    <row r="31">
      <c r="A31" s="4" t="inlineStr">
        <is>
          <t>1. Which category has the highest inventory value?</t>
        </is>
      </c>
    </row>
    <row r="32">
      <c r="A32" s="4" t="inlineStr">
        <is>
          <t>2. Which SKUs are below the reorder point?</t>
        </is>
      </c>
    </row>
    <row r="33">
      <c r="A33" s="4" t="inlineStr">
        <is>
          <t>3. Do the highest-scoring suppliers also offer the lowest price?</t>
        </is>
      </c>
    </row>
    <row r="34">
      <c r="A34" s="4" t="inlineStr">
        <is>
          <t>4. How does high demand change suggested order quantities?</t>
        </is>
      </c>
    </row>
    <row r="35">
      <c r="A35" s="4" t="inlineStr">
        <is>
          <t>5. What are the trade-offs between low cost and fast delivery?</t>
        </is>
      </c>
    </row>
  </sheetData>
  <mergeCells count="6">
    <mergeCell ref="A33:C33"/>
    <mergeCell ref="A32:C32"/>
    <mergeCell ref="A31:C31"/>
    <mergeCell ref="A2:H2"/>
    <mergeCell ref="A34:C34"/>
    <mergeCell ref="A35:C35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2026-10-20T10:41:37Z</dcterms:created>
  <dcterms:modified xmlns:dcterms="http://purl.org/dc/terms/" xmlns:xsi="http://www.w3.org/2001/XMLSchema-instance" xsi:type="dcterms:W3CDTF">2026-10-20T10:41:37Z</dcterms:modified>
</cp:coreProperties>
</file>